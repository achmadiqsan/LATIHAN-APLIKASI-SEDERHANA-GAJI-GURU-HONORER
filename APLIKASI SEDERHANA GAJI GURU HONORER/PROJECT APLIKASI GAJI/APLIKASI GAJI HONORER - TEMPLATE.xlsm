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20" yWindow="-120" windowWidth="20730" windowHeight="11760" tabRatio="0"/>
  </bookViews>
  <sheets>
    <sheet name="MENU UTAMA" sheetId="3" r:id="rId1"/>
    <sheet name="DATAGURU" sheetId="1" r:id="rId2"/>
    <sheet name="JAMNGAJAR" sheetId="2" r:id="rId3"/>
    <sheet name="KWITANSI" sheetId="4" r:id="rId4"/>
  </sheets>
  <definedNames>
    <definedName name="_xlnm._FilterDatabase" localSheetId="2" hidden="1">JAMNGAJAR!$A$1:$P$4</definedName>
    <definedName name="_xlnm._FilterDatabase" localSheetId="3" hidden="1">KWITANSI!$C$1:$K$2</definedName>
    <definedName name="_xlnm.Criteria" localSheetId="2">JAMNGAJAR!$R$1:$R$2</definedName>
    <definedName name="_xlnm.Criteria" localSheetId="3">KWITANSI!$M$1:$M$1</definedName>
    <definedName name="DATABAYARGAJI">OFFSET(JAMNGAJAR!$A$2,0,0,COUNTA(JAMNGAJAR!$A$2:$A$30000),16)</definedName>
    <definedName name="DATAID">OFFSET(DATAGURU!$A$2,0,0,COUNTA(DATAGURU!$A$2:$A$3000),2)</definedName>
    <definedName name="DATAKWITANSI">OFFSET(KWITANSI!$C$1,0,0,COUNTA(KWITANSI!$C$1:$C$29999),9)</definedName>
    <definedName name="_xlnm.Extract" localSheetId="2">JAMNGAJAR!$T$1:$AI$1</definedName>
    <definedName name="HASILCARIGURU">OFFSET(DATAGURU!$L$2,0,0,COUNTA(DATAGURU!$L$2:$L$30000),8)</definedName>
    <definedName name="HASILCARIJAM">OFFSET(JAMNGAJAR!$T$2,0,0,COUNTA(JAMNGAJAR!$T$2:$T$30000),16)</definedName>
    <definedName name="HASILCARIKWITANSI">OFFSET(KWITANSI!$O$1,0,0,COUNTA(KWITANSI!$O$1:$O$2999),9)</definedName>
    <definedName name="_xlnm.Print_Area" localSheetId="3">KWITANSI!$A$1:$H$50</definedName>
    <definedName name="TABELDATAJAM">OFFSET(JAMNGAJAR!$A$2,0,0,COUNTA(JAMNGAJAR!$A$2:$A$29999),16)</definedName>
    <definedName name="TABELGURU">OFFSET(DATAGURU!$A$2,0,0,COUNTA(DATAGURU!$A$2:$A$21981),8)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9" i="3" l="1"/>
  <c r="W28" i="3"/>
  <c r="W23" i="3"/>
  <c r="W24" i="3"/>
  <c r="W25" i="3"/>
  <c r="W22" i="3"/>
  <c r="W19" i="3"/>
  <c r="W18" i="3"/>
  <c r="B42" i="4" l="1"/>
  <c r="B40" i="4"/>
  <c r="B38" i="4"/>
  <c r="B36" i="4"/>
  <c r="F34" i="4"/>
  <c r="B34" i="4"/>
  <c r="F31" i="4"/>
  <c r="F29" i="4"/>
</calcChain>
</file>

<file path=xl/sharedStrings.xml><?xml version="1.0" encoding="utf-8"?>
<sst xmlns="http://schemas.openxmlformats.org/spreadsheetml/2006/main" count="163" uniqueCount="63">
  <si>
    <t>Nama Guru</t>
  </si>
  <si>
    <t>Jenis Kelamin</t>
  </si>
  <si>
    <t>Pendidikan</t>
  </si>
  <si>
    <t>Status Pernikahan</t>
  </si>
  <si>
    <t>Honor Per Jam</t>
  </si>
  <si>
    <t>Tanggal Masuk</t>
  </si>
  <si>
    <t>JL. KEMAYORAN LAMA</t>
  </si>
  <si>
    <t>Menikah</t>
  </si>
  <si>
    <t>ID1001</t>
  </si>
  <si>
    <t>ID1010</t>
  </si>
  <si>
    <t>YATI SUYATI</t>
  </si>
  <si>
    <t>Sarjana</t>
  </si>
  <si>
    <t>Total Honor</t>
  </si>
  <si>
    <t>Tanggal Input</t>
  </si>
  <si>
    <t>Jumlah Jam</t>
  </si>
  <si>
    <t>ID1005</t>
  </si>
  <si>
    <t>No Telpon</t>
  </si>
  <si>
    <t>NUPTK</t>
  </si>
  <si>
    <t>Laki - Laki</t>
  </si>
  <si>
    <t>Bulan</t>
  </si>
  <si>
    <t>Tahun</t>
  </si>
  <si>
    <t>October</t>
  </si>
  <si>
    <t>ID Data</t>
  </si>
  <si>
    <t>ID1006</t>
  </si>
  <si>
    <t>ID1007</t>
  </si>
  <si>
    <t>ID1008</t>
  </si>
  <si>
    <t>BAMBANG</t>
  </si>
  <si>
    <t>SUYATMI</t>
  </si>
  <si>
    <t>FEBRINA</t>
  </si>
  <si>
    <t>SARI</t>
  </si>
  <si>
    <t>Perempuan</t>
  </si>
  <si>
    <t>Diploma 1</t>
  </si>
  <si>
    <t>Diploma 2</t>
  </si>
  <si>
    <t>Diploma 3</t>
  </si>
  <si>
    <t>Belum Menikah</t>
  </si>
  <si>
    <t>Tambahan 1</t>
  </si>
  <si>
    <t>Tambahan 2</t>
  </si>
  <si>
    <t>Tambahan 3</t>
  </si>
  <si>
    <t>Tambahan 4</t>
  </si>
  <si>
    <t>Total Tambahan</t>
  </si>
  <si>
    <t>0821-5214-65457</t>
  </si>
  <si>
    <t>10/30/2020ID1001</t>
  </si>
  <si>
    <t>0815-6548-9784</t>
  </si>
  <si>
    <t>0811-657-985</t>
  </si>
  <si>
    <t>Total Gaji</t>
  </si>
  <si>
    <t>**</t>
  </si>
  <si>
    <t>31/10/2020ID1005</t>
  </si>
  <si>
    <t>31/10/2020</t>
  </si>
  <si>
    <t>Nomor Kwitansi</t>
  </si>
  <si>
    <t>Tanggal Cetak</t>
  </si>
  <si>
    <t>Id Data</t>
  </si>
  <si>
    <t>Id Guru/NUPTK</t>
  </si>
  <si>
    <t>Tambahan</t>
  </si>
  <si>
    <t>TTD 1</t>
  </si>
  <si>
    <t>TTD 2</t>
  </si>
  <si>
    <t>Rekap Data Guru Honorer</t>
  </si>
  <si>
    <t>Jumlah</t>
  </si>
  <si>
    <t>KAKULKE</t>
  </si>
  <si>
    <t>0812-4578-5147</t>
  </si>
  <si>
    <t>Kawin</t>
  </si>
  <si>
    <t>ANTON BATMAN</t>
  </si>
  <si>
    <t>June</t>
  </si>
  <si>
    <t>6/19/2021ID1008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</si>
</sst>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(&quot;Rp&quot;* #,##0_);_(&quot;Rp&quot;* \(#,##0\);_(&quot;Rp&quot;* &quot;-&quot;_);_(@_)"/>
    <numFmt numFmtId="164" formatCode="[$-F800]dddd\,\ mmmm\ dd\,\ yyyy"/>
    <numFmt numFmtId="165" formatCode="_-[$Rp-421]* #,##0_-;\-[$Rp-421]* #,##0_-;_-[$Rp-421]* &quot;-&quot;??_-;_-@_-"/>
    <numFmt numFmtId="166" formatCode="mmm\ d\,\ yyyy"/>
  </numFmts>
  <fonts count="10" x14ac:knownFonts="1">
    <font>
      <sz val="11"/>
      <color theme="1"/>
      <name val="Calibri"/>
      <family val="2"/>
      <charset val="1"/>
      <scheme val="minor"/>
    </font>
    <font>
      <sz val="11"/>
      <color theme="1"/>
      <name val="Roboto Condensed"/>
    </font>
    <font>
      <b/>
      <sz val="10"/>
      <color theme="0"/>
      <name val="Roboto Condensed"/>
    </font>
    <font>
      <sz val="11"/>
      <color theme="1"/>
      <name val="Calibri"/>
      <family val="2"/>
      <charset val="1"/>
      <scheme val="minor"/>
    </font>
    <font>
      <sz val="12"/>
      <color theme="0" tint="-0.34998626667073579"/>
      <name val="Calibri"/>
      <family val="2"/>
      <charset val="1"/>
      <scheme val="minor"/>
    </font>
    <font>
      <sz val="11"/>
      <color theme="0" tint="-0.34998626667073579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color theme="1" tint="0.34998626667073579"/>
      <name val="Calibri"/>
      <family val="2"/>
      <charset val="1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37CBD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 applyProtection="1">
      <protection locked="0"/>
    </xf>
    <xf numFmtId="14" fontId="1" fillId="0" borderId="0" xfId="0" applyNumberFormat="1" applyFont="1" applyProtection="1"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164" fontId="1" fillId="0" borderId="0" xfId="0" applyNumberFormat="1" applyFont="1" applyAlignment="1" applyProtection="1">
      <alignment horizontal="left" vertical="center"/>
      <protection locked="0"/>
    </xf>
    <xf numFmtId="165" fontId="1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  <xf numFmtId="165" fontId="1" fillId="0" borderId="0" xfId="0" applyNumberFormat="1" applyFont="1" applyAlignment="1" applyProtection="1">
      <alignment horizontal="left" vertical="center"/>
      <protection locked="0"/>
    </xf>
    <xf numFmtId="165" fontId="1" fillId="0" borderId="0" xfId="0" applyNumberFormat="1" applyFont="1" applyAlignment="1" applyProtection="1">
      <alignment horizontal="center"/>
      <protection locked="0"/>
    </xf>
    <xf numFmtId="0" fontId="0" fillId="3" borderId="0" xfId="0" applyFill="1"/>
    <xf numFmtId="166" fontId="0" fillId="3" borderId="0" xfId="0" applyNumberFormat="1" applyFill="1"/>
    <xf numFmtId="14" fontId="0" fillId="3" borderId="0" xfId="0" applyNumberFormat="1" applyFill="1"/>
    <xf numFmtId="0" fontId="2" fillId="2" borderId="0" xfId="0" applyFont="1" applyFill="1" applyAlignment="1" applyProtection="1">
      <alignment horizontal="left" vertical="center"/>
      <protection locked="0"/>
    </xf>
    <xf numFmtId="0" fontId="2" fillId="2" borderId="0" xfId="0" applyNumberFormat="1" applyFont="1" applyFill="1" applyAlignment="1" applyProtection="1">
      <alignment horizontal="left" vertical="center"/>
      <protection locked="0"/>
    </xf>
    <xf numFmtId="0" fontId="1" fillId="0" borderId="0" xfId="0" applyNumberFormat="1" applyFont="1" applyProtection="1">
      <protection locked="0"/>
    </xf>
    <xf numFmtId="22" fontId="1" fillId="0" borderId="0" xfId="0" applyNumberFormat="1" applyFont="1" applyAlignment="1" applyProtection="1">
      <alignment horizontal="center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14" fontId="1" fillId="0" borderId="0" xfId="0" applyNumberFormat="1" applyFont="1" applyAlignment="1" applyProtection="1">
      <alignment horizontal="center"/>
      <protection locked="0"/>
    </xf>
    <xf numFmtId="14" fontId="0" fillId="0" borderId="0" xfId="0" applyNumberFormat="1"/>
    <xf numFmtId="1" fontId="0" fillId="0" borderId="0" xfId="1" applyNumberFormat="1" applyFont="1"/>
    <xf numFmtId="0" fontId="0" fillId="0" borderId="0" xfId="0" applyNumberFormat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7" fillId="0" borderId="1" xfId="0" applyFont="1" applyBorder="1"/>
    <xf numFmtId="0" fontId="0" fillId="0" borderId="1" xfId="0" applyBorder="1"/>
    <xf numFmtId="0" fontId="0" fillId="0" borderId="2" xfId="0" applyBorder="1"/>
    <xf numFmtId="165" fontId="6" fillId="0" borderId="0" xfId="0" applyNumberFormat="1" applyFont="1"/>
    <xf numFmtId="42" fontId="6" fillId="0" borderId="0" xfId="1" applyFont="1"/>
    <xf numFmtId="0" fontId="9" fillId="0" borderId="0" xfId="0" applyFont="1" applyAlignment="1">
      <alignment horizontal="right"/>
    </xf>
    <xf numFmtId="0" fontId="9" fillId="0" borderId="0" xfId="0" applyFont="1"/>
    <xf numFmtId="0" fontId="8" fillId="5" borderId="0" xfId="0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3" xfId="0" applyFill="1" applyBorder="1"/>
    <xf numFmtId="0" fontId="8" fillId="5" borderId="0" xfId="0" applyFont="1" applyFill="1" applyAlignment="1">
      <alignment horizontal="center" vertical="center"/>
    </xf>
    <xf numFmtId="0" fontId="8" fillId="5" borderId="0" xfId="0" applyFont="1" applyFill="1"/>
    <xf numFmtId="165" fontId="6" fillId="4" borderId="0" xfId="0" applyNumberFormat="1" applyFont="1" applyFill="1" applyAlignment="1">
      <alignment horizontal="left" vertical="center"/>
    </xf>
    <xf numFmtId="0" fontId="6" fillId="4" borderId="0" xfId="0" applyFont="1" applyFill="1" applyAlignment="1">
      <alignment horizontal="center"/>
    </xf>
    <xf numFmtId="0" fontId="0" fillId="4" borderId="0" xfId="0" applyFill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42" fontId="6" fillId="4" borderId="0" xfId="1" applyFont="1" applyFill="1" applyAlignment="1">
      <alignment horizontal="left" vertical="center"/>
    </xf>
  </cellXfs>
  <cellStyles count="2">
    <cellStyle name="Currency [0]" xfId="1" builtinId="7"/>
    <cellStyle name="Normal" xfId="0" builtinId="0"/>
  </cellStyles>
  <dxfs count="4">
    <dxf>
      <border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060A2A"/>
      <color rgb="FF137CBD"/>
      <color rgb="FFCC00CC"/>
      <color rgb="FF156DE9"/>
      <color rgb="FF15C7E9"/>
      <color rgb="FF800000"/>
      <color rgb="FF500A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8.png"/><Relationship Id="rId18" Type="http://schemas.openxmlformats.org/officeDocument/2006/relationships/image" Target="../media/image10.png"/><Relationship Id="rId26" Type="http://schemas.openxmlformats.org/officeDocument/2006/relationships/image" Target="../media/image27.svg"/><Relationship Id="rId3" Type="http://schemas.openxmlformats.org/officeDocument/2006/relationships/image" Target="../media/image3.png"/><Relationship Id="rId21" Type="http://schemas.openxmlformats.org/officeDocument/2006/relationships/image" Target="../media/image22.svg"/><Relationship Id="rId7" Type="http://schemas.openxmlformats.org/officeDocument/2006/relationships/image" Target="../media/image5.png"/><Relationship Id="rId12" Type="http://schemas.openxmlformats.org/officeDocument/2006/relationships/image" Target="../media/image13.svg"/><Relationship Id="rId17" Type="http://schemas.openxmlformats.org/officeDocument/2006/relationships/image" Target="../media/image18.svg"/><Relationship Id="rId25" Type="http://schemas.openxmlformats.org/officeDocument/2006/relationships/image" Target="../media/image14.png"/><Relationship Id="rId2" Type="http://schemas.openxmlformats.org/officeDocument/2006/relationships/image" Target="../media/image3.sv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7.png"/><Relationship Id="rId24" Type="http://schemas.openxmlformats.org/officeDocument/2006/relationships/image" Target="../media/image13.png"/><Relationship Id="rId5" Type="http://schemas.openxmlformats.org/officeDocument/2006/relationships/image" Target="../media/image4.png"/><Relationship Id="rId15" Type="http://schemas.openxmlformats.org/officeDocument/2006/relationships/image" Target="../media/image16.svg"/><Relationship Id="rId23" Type="http://schemas.openxmlformats.org/officeDocument/2006/relationships/image" Target="../media/image24.svg"/><Relationship Id="rId28" Type="http://schemas.openxmlformats.org/officeDocument/2006/relationships/image" Target="../media/image29.svg"/><Relationship Id="rId10" Type="http://schemas.openxmlformats.org/officeDocument/2006/relationships/image" Target="../media/image11.svg"/><Relationship Id="rId19" Type="http://schemas.openxmlformats.org/officeDocument/2006/relationships/image" Target="../media/image20.svg"/><Relationship Id="rId4" Type="http://schemas.openxmlformats.org/officeDocument/2006/relationships/image" Target="../media/image5.svg"/><Relationship Id="rId9" Type="http://schemas.openxmlformats.org/officeDocument/2006/relationships/image" Target="../media/image6.png"/><Relationship Id="rId22" Type="http://schemas.openxmlformats.org/officeDocument/2006/relationships/image" Target="../media/image12.png"/><Relationship Id="rId27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9525</xdr:colOff>
      <xdr:row>39</xdr:row>
      <xdr:rowOff>114300</xdr:rowOff>
    </xdr:to>
    <xdr:sp macro="" textlink="">
      <xdr:nvSpPr>
        <xdr:cNvPr id="38" name="Rectangle 37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/>
      </xdr:nvSpPr>
      <xdr:spPr>
        <a:xfrm>
          <a:off x="0" y="0"/>
          <a:ext cx="2105025" cy="7543800"/>
        </a:xfrm>
        <a:prstGeom prst="rect">
          <a:avLst/>
        </a:prstGeom>
        <a:solidFill>
          <a:srgbClr val="2937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absolute">
    <xdr:from>
      <xdr:col>0</xdr:col>
      <xdr:colOff>0</xdr:colOff>
      <xdr:row>15</xdr:row>
      <xdr:rowOff>66675</xdr:rowOff>
    </xdr:from>
    <xdr:to>
      <xdr:col>3</xdr:col>
      <xdr:colOff>10500</xdr:colOff>
      <xdr:row>17</xdr:row>
      <xdr:rowOff>28576</xdr:rowOff>
    </xdr:to>
    <xdr:grpSp>
      <xdr:nvGrpSpPr>
        <xdr:cNvPr id="18" name="BTNGURU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>
          <a:grpSpLocks noChangeAspect="1"/>
        </xdr:cNvGrpSpPr>
      </xdr:nvGrpSpPr>
      <xdr:grpSpPr>
        <a:xfrm>
          <a:off x="0" y="2924175"/>
          <a:ext cx="2094794" cy="342901"/>
          <a:chOff x="2533649" y="314324"/>
          <a:chExt cx="2106000" cy="342901"/>
        </a:xfrm>
      </xdr:grpSpPr>
      <xdr:sp macro="[0]!BukaFormGuru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533649" y="314324"/>
            <a:ext cx="2106000" cy="342901"/>
          </a:xfrm>
          <a:prstGeom prst="rect">
            <a:avLst/>
          </a:prstGeom>
          <a:solidFill>
            <a:srgbClr val="137CB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Roboto Condensed" panose="02000000000000000000" pitchFamily="2" charset="0"/>
                <a:ea typeface="Roboto Condensed" panose="02000000000000000000" pitchFamily="2" charset="0"/>
              </a:rPr>
              <a:t>Data Guru</a:t>
            </a:r>
          </a:p>
        </xdr:txBody>
      </xdr:sp>
      <xdr:pic macro="[0]!BukaFormGuru">
        <xdr:nvPicPr>
          <xdr:cNvPr id="20" name="Graphic 19" descr="User"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38425" y="333375"/>
            <a:ext cx="295350" cy="2953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18</xdr:row>
      <xdr:rowOff>4763</xdr:rowOff>
    </xdr:from>
    <xdr:to>
      <xdr:col>3</xdr:col>
      <xdr:colOff>10500</xdr:colOff>
      <xdr:row>19</xdr:row>
      <xdr:rowOff>157164</xdr:rowOff>
    </xdr:to>
    <xdr:grpSp>
      <xdr:nvGrpSpPr>
        <xdr:cNvPr id="45" name="Group 44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0" y="3433763"/>
          <a:ext cx="2094794" cy="342901"/>
          <a:chOff x="0" y="2114550"/>
          <a:chExt cx="2106000" cy="342901"/>
        </a:xfrm>
      </xdr:grpSpPr>
      <xdr:sp macro="[0]!BukaHonor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0" y="2114550"/>
            <a:ext cx="2106000" cy="342901"/>
          </a:xfrm>
          <a:prstGeom prst="rect">
            <a:avLst/>
          </a:prstGeom>
          <a:solidFill>
            <a:srgbClr val="137CB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d-ID" sz="1100">
                <a:latin typeface="Roboto Condensed" panose="02000000000000000000" pitchFamily="2" charset="0"/>
                <a:ea typeface="Roboto Condensed" panose="02000000000000000000" pitchFamily="2" charset="0"/>
              </a:rPr>
              <a:t>Honor</a:t>
            </a:r>
            <a:r>
              <a:rPr lang="en-US" sz="1100" baseline="0">
                <a:latin typeface="Roboto Condensed" panose="02000000000000000000" pitchFamily="2" charset="0"/>
                <a:ea typeface="Roboto Condensed" panose="02000000000000000000" pitchFamily="2" charset="0"/>
              </a:rPr>
              <a:t> Ngajar</a:t>
            </a:r>
            <a:endParaRPr lang="en-US" sz="1100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pic macro="[0]!BukaHonor">
        <xdr:nvPicPr>
          <xdr:cNvPr id="37" name="Graphic 36" descr="Teacher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5250" y="2143125"/>
            <a:ext cx="295350" cy="2953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20</xdr:row>
      <xdr:rowOff>133350</xdr:rowOff>
    </xdr:from>
    <xdr:to>
      <xdr:col>3</xdr:col>
      <xdr:colOff>10500</xdr:colOff>
      <xdr:row>22</xdr:row>
      <xdr:rowOff>95251</xdr:rowOff>
    </xdr:to>
    <xdr:grpSp>
      <xdr:nvGrpSpPr>
        <xdr:cNvPr id="46" name="Group 45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0" y="3943350"/>
          <a:ext cx="2094794" cy="342901"/>
          <a:chOff x="0" y="2600325"/>
          <a:chExt cx="2106000" cy="342901"/>
        </a:xfrm>
      </xdr:grpSpPr>
      <xdr:sp macro="[0]!BukaKwitansi" textlink="">
        <xdr:nvSpPr>
          <xdr:cNvPr id="39" name="Rectangle 38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0" y="2600325"/>
            <a:ext cx="2106000" cy="342901"/>
          </a:xfrm>
          <a:prstGeom prst="rect">
            <a:avLst/>
          </a:prstGeom>
          <a:solidFill>
            <a:srgbClr val="137CB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Roboto Condensed" panose="02000000000000000000" pitchFamily="2" charset="0"/>
                <a:ea typeface="Roboto Condensed" panose="02000000000000000000" pitchFamily="2" charset="0"/>
              </a:rPr>
              <a:t>Kwitansi</a:t>
            </a:r>
          </a:p>
        </xdr:txBody>
      </xdr:sp>
      <xdr:pic macro="[0]!BukaKwitansi">
        <xdr:nvPicPr>
          <xdr:cNvPr id="42" name="Graphic 41" descr="Mathematics">
            <a:extLst>
              <a:ext uri="{FF2B5EF4-FFF2-40B4-BE49-F238E27FC236}">
                <a16:creationId xmlns=""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5725" y="2628900"/>
            <a:ext cx="295350" cy="2953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23</xdr:row>
      <xdr:rowOff>71437</xdr:rowOff>
    </xdr:from>
    <xdr:to>
      <xdr:col>3</xdr:col>
      <xdr:colOff>10500</xdr:colOff>
      <xdr:row>25</xdr:row>
      <xdr:rowOff>33338</xdr:rowOff>
    </xdr:to>
    <xdr:grpSp>
      <xdr:nvGrpSpPr>
        <xdr:cNvPr id="47" name="Group 46">
          <a:extLst>
            <a:ext uri="{FF2B5EF4-FFF2-40B4-BE49-F238E27FC236}">
              <a16:creationId xmlns=""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0" y="4452937"/>
          <a:ext cx="2094794" cy="342901"/>
          <a:chOff x="0" y="3086100"/>
          <a:chExt cx="2106000" cy="342901"/>
        </a:xfrm>
      </xdr:grpSpPr>
      <xdr:sp macro="[0]!SimpanData" textlink="">
        <xdr:nvSpPr>
          <xdr:cNvPr id="40" name="Rectangle 39">
            <a:extLst>
              <a:ext uri="{FF2B5EF4-FFF2-40B4-BE49-F238E27FC236}">
                <a16:creationId xmlns=""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0" y="3086100"/>
            <a:ext cx="2106000" cy="342901"/>
          </a:xfrm>
          <a:prstGeom prst="rect">
            <a:avLst/>
          </a:prstGeom>
          <a:solidFill>
            <a:srgbClr val="137CB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Roboto Condensed" panose="02000000000000000000" pitchFamily="2" charset="0"/>
                <a:ea typeface="Roboto Condensed" panose="02000000000000000000" pitchFamily="2" charset="0"/>
              </a:rPr>
              <a:t>Simpan</a:t>
            </a:r>
          </a:p>
        </xdr:txBody>
      </xdr:sp>
      <xdr:pic macro="[0]!SimpanData">
        <xdr:nvPicPr>
          <xdr:cNvPr id="43" name="Graphic 42" descr="Download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7150" y="3105150"/>
            <a:ext cx="295350" cy="2953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26</xdr:row>
      <xdr:rowOff>9525</xdr:rowOff>
    </xdr:from>
    <xdr:to>
      <xdr:col>3</xdr:col>
      <xdr:colOff>10500</xdr:colOff>
      <xdr:row>27</xdr:row>
      <xdr:rowOff>161926</xdr:rowOff>
    </xdr:to>
    <xdr:grpSp>
      <xdr:nvGrpSpPr>
        <xdr:cNvPr id="48" name="Group 47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0" y="4962525"/>
          <a:ext cx="2094794" cy="342901"/>
          <a:chOff x="0" y="3571875"/>
          <a:chExt cx="2106000" cy="342901"/>
        </a:xfrm>
      </xdr:grpSpPr>
      <xdr:sp macro="[0]!Keluar" textlink="">
        <xdr:nvSpPr>
          <xdr:cNvPr id="41" name="Rectangle 40">
            <a:extLst>
              <a:ext uri="{FF2B5EF4-FFF2-40B4-BE49-F238E27FC236}">
                <a16:creationId xmlns=""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0" y="3571875"/>
            <a:ext cx="2106000" cy="342901"/>
          </a:xfrm>
          <a:prstGeom prst="rect">
            <a:avLst/>
          </a:prstGeom>
          <a:solidFill>
            <a:srgbClr val="137CB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  <xdr:pic macro="[0]!Keluar">
        <xdr:nvPicPr>
          <xdr:cNvPr id="44" name="Graphic 43" descr="Power">
            <a:extLst>
              <a:ext uri="{FF2B5EF4-FFF2-40B4-BE49-F238E27FC236}">
                <a16:creationId xmlns=""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8100" y="3590925"/>
            <a:ext cx="295350" cy="295350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76200</xdr:colOff>
      <xdr:row>0</xdr:row>
      <xdr:rowOff>0</xdr:rowOff>
    </xdr:from>
    <xdr:ext cx="1686872" cy="565924"/>
    <xdr:sp macro="" textlink="">
      <xdr:nvSpPr>
        <xdr:cNvPr id="49" name="TextBox 48">
          <a:extLst>
            <a:ext uri="{FF2B5EF4-FFF2-40B4-BE49-F238E27FC236}">
              <a16:creationId xmlns=""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2781300" y="0"/>
          <a:ext cx="1686872" cy="5659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1">
              <a:solidFill>
                <a:srgbClr val="060A2A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Dashboard</a:t>
          </a:r>
        </a:p>
      </xdr:txBody>
    </xdr:sp>
    <xdr:clientData/>
  </xdr:oneCellAnchor>
  <xdr:twoCellAnchor editAs="oneCell">
    <xdr:from>
      <xdr:col>3</xdr:col>
      <xdr:colOff>133351</xdr:colOff>
      <xdr:row>0</xdr:row>
      <xdr:rowOff>57151</xdr:rowOff>
    </xdr:from>
    <xdr:to>
      <xdr:col>4</xdr:col>
      <xdr:colOff>47625</xdr:colOff>
      <xdr:row>3</xdr:row>
      <xdr:rowOff>9525</xdr:rowOff>
    </xdr:to>
    <xdr:pic>
      <xdr:nvPicPr>
        <xdr:cNvPr id="51" name="Graphic 50" descr="Pie chart">
          <a:extLst>
            <a:ext uri="{FF2B5EF4-FFF2-40B4-BE49-F238E27FC236}">
              <a16:creationId xmlns=""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228851" y="57151"/>
          <a:ext cx="523874" cy="523874"/>
        </a:xfrm>
        <a:prstGeom prst="rect">
          <a:avLst/>
        </a:prstGeom>
      </xdr:spPr>
    </xdr:pic>
    <xdr:clientData/>
  </xdr:twoCellAnchor>
  <xdr:twoCellAnchor editAs="absolute">
    <xdr:from>
      <xdr:col>0</xdr:col>
      <xdr:colOff>152400</xdr:colOff>
      <xdr:row>8</xdr:row>
      <xdr:rowOff>0</xdr:rowOff>
    </xdr:from>
    <xdr:to>
      <xdr:col>2</xdr:col>
      <xdr:colOff>647700</xdr:colOff>
      <xdr:row>8</xdr:row>
      <xdr:rowOff>0</xdr:rowOff>
    </xdr:to>
    <xdr:cxnSp macro="">
      <xdr:nvCxnSpPr>
        <xdr:cNvPr id="54" name="Straight Connector 53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52400" y="1524000"/>
          <a:ext cx="1714500" cy="0"/>
        </a:xfrm>
        <a:prstGeom prst="line">
          <a:avLst/>
        </a:prstGeom>
        <a:ln>
          <a:solidFill>
            <a:schemeClr val="tx2">
              <a:lumMod val="60000"/>
              <a:lumOff val="4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200026</xdr:colOff>
      <xdr:row>8</xdr:row>
      <xdr:rowOff>66675</xdr:rowOff>
    </xdr:from>
    <xdr:to>
      <xdr:col>2</xdr:col>
      <xdr:colOff>628650</xdr:colOff>
      <xdr:row>13</xdr:row>
      <xdr:rowOff>47626</xdr:rowOff>
    </xdr:to>
    <xdr:sp macro="" textlink="">
      <xdr:nvSpPr>
        <xdr:cNvPr id="55" name="TextBox 54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00026" y="1590675"/>
          <a:ext cx="1819274" cy="9334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050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Selamat Datang Di Aplikasi Gaji</a:t>
          </a:r>
          <a:r>
            <a:rPr lang="en-US" sz="1050" baseline="0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Guru Honorer </a:t>
          </a:r>
          <a:endParaRPr lang="id-ID" sz="1050" baseline="0">
            <a:solidFill>
              <a:schemeClr val="accent4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  <a:p>
          <a:pPr algn="ctr"/>
          <a:r>
            <a:rPr lang="en-US" sz="1050" baseline="0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SMP NEGRI 2 INDONESIA</a:t>
          </a:r>
          <a:endParaRPr lang="en-US" sz="1050">
            <a:solidFill>
              <a:schemeClr val="accent4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3</xdr:col>
      <xdr:colOff>133350</xdr:colOff>
      <xdr:row>11</xdr:row>
      <xdr:rowOff>152400</xdr:rowOff>
    </xdr:from>
    <xdr:to>
      <xdr:col>6</xdr:col>
      <xdr:colOff>241101</xdr:colOff>
      <xdr:row>14</xdr:row>
      <xdr:rowOff>30975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217644" y="2247900"/>
          <a:ext cx="2091192" cy="450075"/>
          <a:chOff x="2171700" y="1905000"/>
          <a:chExt cx="2098476" cy="450075"/>
        </a:xfrm>
      </xdr:grpSpPr>
      <xdr:sp macro="" textlink="">
        <xdr:nvSpPr>
          <xdr:cNvPr id="25" name="TextBox 24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2609850" y="1981200"/>
            <a:ext cx="1660326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>
                <a:solidFill>
                  <a:srgbClr val="137CBD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Tabel Data Guru Honorer</a:t>
            </a:r>
          </a:p>
        </xdr:txBody>
      </xdr:sp>
      <xdr:pic>
        <xdr:nvPicPr>
          <xdr:cNvPr id="3" name="Graphic 2" descr="Users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171700" y="1905000"/>
            <a:ext cx="450075" cy="450075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123824</xdr:colOff>
      <xdr:row>3</xdr:row>
      <xdr:rowOff>28575</xdr:rowOff>
    </xdr:from>
    <xdr:to>
      <xdr:col>8</xdr:col>
      <xdr:colOff>504824</xdr:colOff>
      <xdr:row>11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2219324" y="600075"/>
          <a:ext cx="3590925" cy="1524000"/>
        </a:xfrm>
        <a:prstGeom prst="rect">
          <a:avLst/>
        </a:prstGeom>
        <a:solidFill>
          <a:srgbClr val="060A2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561975</xdr:colOff>
      <xdr:row>3</xdr:row>
      <xdr:rowOff>123825</xdr:rowOff>
    </xdr:from>
    <xdr:to>
      <xdr:col>8</xdr:col>
      <xdr:colOff>39430</xdr:colOff>
      <xdr:row>10</xdr:row>
      <xdr:rowOff>60332</xdr:rowOff>
    </xdr:to>
    <xdr:grpSp>
      <xdr:nvGrpSpPr>
        <xdr:cNvPr id="28" name="Group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024593" y="695325"/>
          <a:ext cx="1292808" cy="1270007"/>
          <a:chOff x="3257550" y="704850"/>
          <a:chExt cx="1306255" cy="1270007"/>
        </a:xfrm>
      </xdr:grpSpPr>
      <xdr:pic>
        <xdr:nvPicPr>
          <xdr:cNvPr id="14" name="Graphic 13" descr="Office worker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362325" y="704850"/>
            <a:ext cx="1104900" cy="1104900"/>
          </a:xfrm>
          <a:prstGeom prst="rect">
            <a:avLst/>
          </a:prstGeom>
        </xdr:spPr>
      </xdr:pic>
      <xdr:sp macro="" textlink="">
        <xdr:nvSpPr>
          <xdr:cNvPr id="50" name="TextBox 49">
            <a:extLst>
              <a:ext uri="{FF2B5EF4-FFF2-40B4-BE49-F238E27FC236}">
                <a16:creationId xmlns=""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3257550" y="1704975"/>
            <a:ext cx="1306255" cy="2698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5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Jumlah Guru Honorer</a:t>
            </a:r>
          </a:p>
        </xdr:txBody>
      </xdr:sp>
    </xdr:grpSp>
    <xdr:clientData/>
  </xdr:twoCellAnchor>
  <xdr:twoCellAnchor>
    <xdr:from>
      <xdr:col>6</xdr:col>
      <xdr:colOff>523876</xdr:colOff>
      <xdr:row>3</xdr:row>
      <xdr:rowOff>76200</xdr:rowOff>
    </xdr:from>
    <xdr:to>
      <xdr:col>8</xdr:col>
      <xdr:colOff>352426</xdr:colOff>
      <xdr:row>6</xdr:row>
      <xdr:rowOff>180975</xdr:rowOff>
    </xdr:to>
    <xdr:sp macro="" textlink="$N$15">
      <xdr:nvSpPr>
        <xdr:cNvPr id="15" name="Rectangle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4610101" y="647700"/>
          <a:ext cx="10477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4B9946FB-D1C9-40F1-BAC3-37E000FE82B1}" type="TxLink">
            <a:rPr lang="en-US" sz="48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algn="r"/>
            <a:t> </a:t>
          </a:fld>
          <a:endParaRPr lang="en-US" sz="48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9</xdr:col>
      <xdr:colOff>180974</xdr:colOff>
      <xdr:row>3</xdr:row>
      <xdr:rowOff>28575</xdr:rowOff>
    </xdr:from>
    <xdr:to>
      <xdr:col>15</xdr:col>
      <xdr:colOff>266699</xdr:colOff>
      <xdr:row>11</xdr:row>
      <xdr:rowOff>19050</xdr:rowOff>
    </xdr:to>
    <xdr:sp macro="" textlink="">
      <xdr:nvSpPr>
        <xdr:cNvPr id="53" name="Rectangle 52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SpPr/>
      </xdr:nvSpPr>
      <xdr:spPr>
        <a:xfrm>
          <a:off x="6095999" y="600075"/>
          <a:ext cx="3743325" cy="1514475"/>
        </a:xfrm>
        <a:prstGeom prst="rect">
          <a:avLst/>
        </a:prstGeom>
        <a:solidFill>
          <a:srgbClr val="060A2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542924</xdr:colOff>
      <xdr:row>3</xdr:row>
      <xdr:rowOff>28575</xdr:rowOff>
    </xdr:from>
    <xdr:to>
      <xdr:col>21</xdr:col>
      <xdr:colOff>590550</xdr:colOff>
      <xdr:row>10</xdr:row>
      <xdr:rowOff>180975</xdr:rowOff>
    </xdr:to>
    <xdr:sp macro="" textlink="">
      <xdr:nvSpPr>
        <xdr:cNvPr id="59" name="Rectangle 58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SpPr/>
      </xdr:nvSpPr>
      <xdr:spPr>
        <a:xfrm>
          <a:off x="10115549" y="600075"/>
          <a:ext cx="3733801" cy="1485900"/>
        </a:xfrm>
        <a:prstGeom prst="rect">
          <a:avLst/>
        </a:prstGeom>
        <a:solidFill>
          <a:srgbClr val="060A2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57150</xdr:colOff>
      <xdr:row>7</xdr:row>
      <xdr:rowOff>95587</xdr:rowOff>
    </xdr:from>
    <xdr:to>
      <xdr:col>5</xdr:col>
      <xdr:colOff>523876</xdr:colOff>
      <xdr:row>9</xdr:row>
      <xdr:rowOff>104439</xdr:rowOff>
    </xdr:to>
    <xdr:sp macro="" textlink="$W$19">
      <xdr:nvSpPr>
        <xdr:cNvPr id="64" name="Rectangle 63">
          <a:extLst>
            <a:ext uri="{FF2B5EF4-FFF2-40B4-BE49-F238E27FC236}">
              <a16:creationId xmlns="" xmlns:a16="http://schemas.microsoft.com/office/drawing/2014/main" id="{00000000-0008-0000-0000-000040000000}"/>
            </a:ext>
          </a:extLst>
        </xdr:cNvPr>
        <xdr:cNvSpPr/>
      </xdr:nvSpPr>
      <xdr:spPr>
        <a:xfrm>
          <a:off x="3533775" y="1429087"/>
          <a:ext cx="466726" cy="3898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8DBD0FB-7BE2-4BFC-B930-A4EA572AF023}" type="TxLink">
            <a:rPr lang="en-US" sz="24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ctr"/>
            <a:t>3</a:t>
          </a:fld>
          <a:endParaRPr lang="en-US" sz="2400" b="1" i="0" u="none" strike="noStrike">
            <a:solidFill>
              <a:srgbClr val="FFFFFF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3</xdr:col>
      <xdr:colOff>485776</xdr:colOff>
      <xdr:row>7</xdr:row>
      <xdr:rowOff>85725</xdr:rowOff>
    </xdr:from>
    <xdr:to>
      <xdr:col>4</xdr:col>
      <xdr:colOff>366512</xdr:colOff>
      <xdr:row>9</xdr:row>
      <xdr:rowOff>114300</xdr:rowOff>
    </xdr:to>
    <xdr:sp macro="" textlink="$W$18">
      <xdr:nvSpPr>
        <xdr:cNvPr id="66" name="Rectangle 65">
          <a:extLst>
            <a:ext uri="{FF2B5EF4-FFF2-40B4-BE49-F238E27FC236}">
              <a16:creationId xmlns="" xmlns:a16="http://schemas.microsoft.com/office/drawing/2014/main" id="{00000000-0008-0000-0000-000042000000}"/>
            </a:ext>
          </a:extLst>
        </xdr:cNvPr>
        <xdr:cNvSpPr/>
      </xdr:nvSpPr>
      <xdr:spPr>
        <a:xfrm>
          <a:off x="2581276" y="1419225"/>
          <a:ext cx="490336" cy="409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2067F22D-4704-43B8-9F5D-632D28512ECB}" type="TxLink">
            <a:rPr lang="en-US" sz="24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ctr"/>
            <a:t>3</a:t>
          </a:fld>
          <a:endParaRPr lang="en-US" sz="2400" b="1" i="0" u="none" strike="noStrike">
            <a:solidFill>
              <a:srgbClr val="FFFFFF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3</xdr:col>
      <xdr:colOff>419100</xdr:colOff>
      <xdr:row>4</xdr:row>
      <xdr:rowOff>161925</xdr:rowOff>
    </xdr:from>
    <xdr:to>
      <xdr:col>4</xdr:col>
      <xdr:colOff>524632</xdr:colOff>
      <xdr:row>7</xdr:row>
      <xdr:rowOff>155582</xdr:rowOff>
    </xdr:to>
    <xdr:grpSp>
      <xdr:nvGrpSpPr>
        <xdr:cNvPr id="27" name="Group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2503394" y="923925"/>
          <a:ext cx="710650" cy="565157"/>
          <a:chOff x="4572000" y="1114425"/>
          <a:chExt cx="715132" cy="565157"/>
        </a:xfrm>
      </xdr:grpSpPr>
      <xdr:sp macro="" textlink="">
        <xdr:nvSpPr>
          <xdr:cNvPr id="63" name="TextBox 62">
            <a:extLst>
              <a:ext uri="{FF2B5EF4-FFF2-40B4-BE49-F238E27FC236}">
                <a16:creationId xmlns=""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4572000" y="1409700"/>
            <a:ext cx="715132" cy="2698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Laki - Laki</a:t>
            </a:r>
          </a:p>
        </xdr:txBody>
      </xdr:sp>
      <xdr:pic>
        <xdr:nvPicPr>
          <xdr:cNvPr id="17" name="Graphic 16" descr="Male profile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4733925" y="1114425"/>
            <a:ext cx="347700" cy="3477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704850</xdr:colOff>
      <xdr:row>4</xdr:row>
      <xdr:rowOff>150000</xdr:rowOff>
    </xdr:from>
    <xdr:to>
      <xdr:col>6</xdr:col>
      <xdr:colOff>77586</xdr:colOff>
      <xdr:row>7</xdr:row>
      <xdr:rowOff>137657</xdr:rowOff>
    </xdr:to>
    <xdr:grpSp>
      <xdr:nvGrpSpPr>
        <xdr:cNvPr id="26" name="Group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3394262" y="912000"/>
          <a:ext cx="751059" cy="559157"/>
          <a:chOff x="4152900" y="1397775"/>
          <a:chExt cx="753861" cy="559157"/>
        </a:xfrm>
      </xdr:grpSpPr>
      <xdr:sp macro="" textlink="">
        <xdr:nvSpPr>
          <xdr:cNvPr id="65" name="TextBox 64">
            <a:extLst>
              <a:ext uri="{FF2B5EF4-FFF2-40B4-BE49-F238E27FC236}">
                <a16:creationId xmlns=""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4152900" y="1695450"/>
            <a:ext cx="753861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Perempuan</a:t>
            </a:r>
          </a:p>
        </xdr:txBody>
      </xdr:sp>
      <xdr:pic>
        <xdr:nvPicPr>
          <xdr:cNvPr id="22" name="Graphic 21" descr="Female Profile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341000" y="1397775"/>
            <a:ext cx="347700" cy="3477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342899</xdr:colOff>
      <xdr:row>4</xdr:row>
      <xdr:rowOff>190462</xdr:rowOff>
    </xdr:from>
    <xdr:to>
      <xdr:col>10</xdr:col>
      <xdr:colOff>487160</xdr:colOff>
      <xdr:row>7</xdr:row>
      <xdr:rowOff>132894</xdr:rowOff>
    </xdr:to>
    <xdr:grpSp>
      <xdr:nvGrpSpPr>
        <xdr:cNvPr id="29" name="Group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6225987" y="952462"/>
          <a:ext cx="749379" cy="513932"/>
          <a:chOff x="6248399" y="833400"/>
          <a:chExt cx="753861" cy="513932"/>
        </a:xfrm>
      </xdr:grpSpPr>
      <xdr:pic>
        <xdr:nvPicPr>
          <xdr:cNvPr id="24" name="Graphic 23" descr="Teacher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424575" y="833400"/>
            <a:ext cx="347700" cy="347700"/>
          </a:xfrm>
          <a:prstGeom prst="rect">
            <a:avLst/>
          </a:prstGeom>
        </xdr:spPr>
      </xdr:pic>
      <xdr:sp macro="" textlink="">
        <xdr:nvSpPr>
          <xdr:cNvPr id="67" name="TextBox 66">
            <a:extLst>
              <a:ext uri="{FF2B5EF4-FFF2-40B4-BE49-F238E27FC236}">
                <a16:creationId xmlns=""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6248399" y="1085850"/>
            <a:ext cx="753861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Sarjana</a:t>
            </a:r>
          </a:p>
        </xdr:txBody>
      </xdr:sp>
    </xdr:grpSp>
    <xdr:clientData/>
  </xdr:twoCellAnchor>
  <xdr:twoCellAnchor>
    <xdr:from>
      <xdr:col>10</xdr:col>
      <xdr:colOff>603249</xdr:colOff>
      <xdr:row>4</xdr:row>
      <xdr:rowOff>190462</xdr:rowOff>
    </xdr:from>
    <xdr:to>
      <xdr:col>12</xdr:col>
      <xdr:colOff>137910</xdr:colOff>
      <xdr:row>7</xdr:row>
      <xdr:rowOff>132894</xdr:rowOff>
    </xdr:to>
    <xdr:grpSp>
      <xdr:nvGrpSpPr>
        <xdr:cNvPr id="68" name="Group 67">
          <a:extLst>
            <a:ext uri="{FF2B5EF4-FFF2-40B4-BE49-F238E27FC236}">
              <a16:creationId xmlns="" xmlns:a16="http://schemas.microsoft.com/office/drawing/2014/main" id="{00000000-0008-0000-0000-000044000000}"/>
            </a:ext>
          </a:extLst>
        </xdr:cNvPr>
        <xdr:cNvGrpSpPr/>
      </xdr:nvGrpSpPr>
      <xdr:grpSpPr>
        <a:xfrm>
          <a:off x="7091455" y="952462"/>
          <a:ext cx="744896" cy="513932"/>
          <a:chOff x="6248399" y="833400"/>
          <a:chExt cx="753861" cy="513932"/>
        </a:xfrm>
      </xdr:grpSpPr>
      <xdr:pic>
        <xdr:nvPicPr>
          <xdr:cNvPr id="69" name="Graphic 68" descr="Teacher">
            <a:extLst>
              <a:ext uri="{FF2B5EF4-FFF2-40B4-BE49-F238E27FC236}">
                <a16:creationId xmlns=""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424575" y="833400"/>
            <a:ext cx="347700" cy="347700"/>
          </a:xfrm>
          <a:prstGeom prst="rect">
            <a:avLst/>
          </a:prstGeom>
        </xdr:spPr>
      </xdr:pic>
      <xdr:sp macro="" textlink="">
        <xdr:nvSpPr>
          <xdr:cNvPr id="70" name="TextBox 69">
            <a:extLst>
              <a:ext uri="{FF2B5EF4-FFF2-40B4-BE49-F238E27FC236}">
                <a16:creationId xmlns=""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6248399" y="1085850"/>
            <a:ext cx="753861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Diploma 1</a:t>
            </a:r>
          </a:p>
        </xdr:txBody>
      </xdr:sp>
    </xdr:grpSp>
    <xdr:clientData/>
  </xdr:twoCellAnchor>
  <xdr:twoCellAnchor>
    <xdr:from>
      <xdr:col>12</xdr:col>
      <xdr:colOff>253999</xdr:colOff>
      <xdr:row>4</xdr:row>
      <xdr:rowOff>190462</xdr:rowOff>
    </xdr:from>
    <xdr:to>
      <xdr:col>13</xdr:col>
      <xdr:colOff>398260</xdr:colOff>
      <xdr:row>7</xdr:row>
      <xdr:rowOff>132894</xdr:rowOff>
    </xdr:to>
    <xdr:grpSp>
      <xdr:nvGrpSpPr>
        <xdr:cNvPr id="71" name="Group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GrpSpPr/>
      </xdr:nvGrpSpPr>
      <xdr:grpSpPr>
        <a:xfrm>
          <a:off x="7952440" y="952462"/>
          <a:ext cx="749379" cy="513932"/>
          <a:chOff x="6248399" y="833400"/>
          <a:chExt cx="753861" cy="513932"/>
        </a:xfrm>
      </xdr:grpSpPr>
      <xdr:pic>
        <xdr:nvPicPr>
          <xdr:cNvPr id="72" name="Graphic 71" descr="Teacher">
            <a:extLst>
              <a:ext uri="{FF2B5EF4-FFF2-40B4-BE49-F238E27FC236}">
                <a16:creationId xmlns="" xmlns:a16="http://schemas.microsoft.com/office/drawing/2014/main" id="{00000000-0008-0000-00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424575" y="833400"/>
            <a:ext cx="347700" cy="347700"/>
          </a:xfrm>
          <a:prstGeom prst="rect">
            <a:avLst/>
          </a:prstGeom>
        </xdr:spPr>
      </xdr:pic>
      <xdr:sp macro="" textlink="">
        <xdr:nvSpPr>
          <xdr:cNvPr id="73" name="TextBox 72">
            <a:extLst>
              <a:ext uri="{FF2B5EF4-FFF2-40B4-BE49-F238E27FC236}">
                <a16:creationId xmlns="" xmlns:a16="http://schemas.microsoft.com/office/drawing/2014/main" id="{00000000-0008-0000-0000-000049000000}"/>
              </a:ext>
            </a:extLst>
          </xdr:cNvPr>
          <xdr:cNvSpPr txBox="1"/>
        </xdr:nvSpPr>
        <xdr:spPr>
          <a:xfrm>
            <a:off x="6248399" y="1085850"/>
            <a:ext cx="753861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Diploma 2</a:t>
            </a:r>
          </a:p>
        </xdr:txBody>
      </xdr:sp>
    </xdr:grpSp>
    <xdr:clientData/>
  </xdr:twoCellAnchor>
  <xdr:twoCellAnchor>
    <xdr:from>
      <xdr:col>13</xdr:col>
      <xdr:colOff>514349</xdr:colOff>
      <xdr:row>4</xdr:row>
      <xdr:rowOff>190462</xdr:rowOff>
    </xdr:from>
    <xdr:to>
      <xdr:col>15</xdr:col>
      <xdr:colOff>49010</xdr:colOff>
      <xdr:row>7</xdr:row>
      <xdr:rowOff>132894</xdr:rowOff>
    </xdr:to>
    <xdr:grpSp>
      <xdr:nvGrpSpPr>
        <xdr:cNvPr id="74" name="Group 73">
          <a:extLst>
            <a:ext uri="{FF2B5EF4-FFF2-40B4-BE49-F238E27FC236}">
              <a16:creationId xmlns="" xmlns:a16="http://schemas.microsoft.com/office/drawing/2014/main" id="{00000000-0008-0000-0000-00004A000000}"/>
            </a:ext>
          </a:extLst>
        </xdr:cNvPr>
        <xdr:cNvGrpSpPr/>
      </xdr:nvGrpSpPr>
      <xdr:grpSpPr>
        <a:xfrm>
          <a:off x="8817908" y="952462"/>
          <a:ext cx="744896" cy="513932"/>
          <a:chOff x="6248399" y="833400"/>
          <a:chExt cx="753861" cy="513932"/>
        </a:xfrm>
      </xdr:grpSpPr>
      <xdr:pic>
        <xdr:nvPicPr>
          <xdr:cNvPr id="75" name="Graphic 74" descr="Teacher">
            <a:extLst>
              <a:ext uri="{FF2B5EF4-FFF2-40B4-BE49-F238E27FC236}">
                <a16:creationId xmlns="" xmlns:a16="http://schemas.microsoft.com/office/drawing/2014/main" id="{00000000-0008-0000-0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424575" y="833400"/>
            <a:ext cx="347700" cy="347700"/>
          </a:xfrm>
          <a:prstGeom prst="rect">
            <a:avLst/>
          </a:prstGeom>
        </xdr:spPr>
      </xdr:pic>
      <xdr:sp macro="" textlink="">
        <xdr:nvSpPr>
          <xdr:cNvPr id="76" name="TextBox 75">
            <a:extLst>
              <a:ext uri="{FF2B5EF4-FFF2-40B4-BE49-F238E27FC236}">
                <a16:creationId xmlns="" xmlns:a16="http://schemas.microsoft.com/office/drawing/2014/main" id="{00000000-0008-0000-0000-00004C000000}"/>
              </a:ext>
            </a:extLst>
          </xdr:cNvPr>
          <xdr:cNvSpPr txBox="1"/>
        </xdr:nvSpPr>
        <xdr:spPr>
          <a:xfrm>
            <a:off x="6248399" y="1085850"/>
            <a:ext cx="753861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Diploma 3</a:t>
            </a:r>
          </a:p>
        </xdr:txBody>
      </xdr:sp>
    </xdr:grpSp>
    <xdr:clientData/>
  </xdr:twoCellAnchor>
  <xdr:twoCellAnchor>
    <xdr:from>
      <xdr:col>9</xdr:col>
      <xdr:colOff>447675</xdr:colOff>
      <xdr:row>7</xdr:row>
      <xdr:rowOff>114637</xdr:rowOff>
    </xdr:from>
    <xdr:to>
      <xdr:col>10</xdr:col>
      <xdr:colOff>304801</xdr:colOff>
      <xdr:row>9</xdr:row>
      <xdr:rowOff>123489</xdr:rowOff>
    </xdr:to>
    <xdr:sp macro="" textlink="$W$22">
      <xdr:nvSpPr>
        <xdr:cNvPr id="77" name="Rectangle 76">
          <a:extLst>
            <a:ext uri="{FF2B5EF4-FFF2-40B4-BE49-F238E27FC236}">
              <a16:creationId xmlns="" xmlns:a16="http://schemas.microsoft.com/office/drawing/2014/main" id="{00000000-0008-0000-0000-00004D000000}"/>
            </a:ext>
          </a:extLst>
        </xdr:cNvPr>
        <xdr:cNvSpPr/>
      </xdr:nvSpPr>
      <xdr:spPr>
        <a:xfrm>
          <a:off x="6362700" y="1448137"/>
          <a:ext cx="466726" cy="3898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329A867-7522-4578-A16F-364B913845E7}" type="TxLink">
            <a:rPr lang="en-US" sz="24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ctr"/>
            <a:t>2</a:t>
          </a:fld>
          <a:endParaRPr lang="en-US" sz="2400" b="1" i="0" u="none" strike="noStrike">
            <a:solidFill>
              <a:srgbClr val="FFFFFF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11</xdr:col>
      <xdr:colOff>123825</xdr:colOff>
      <xdr:row>7</xdr:row>
      <xdr:rowOff>105112</xdr:rowOff>
    </xdr:from>
    <xdr:to>
      <xdr:col>11</xdr:col>
      <xdr:colOff>590551</xdr:colOff>
      <xdr:row>9</xdr:row>
      <xdr:rowOff>113964</xdr:rowOff>
    </xdr:to>
    <xdr:sp macro="" textlink="$W$23">
      <xdr:nvSpPr>
        <xdr:cNvPr id="78" name="Rectangle 77">
          <a:extLst>
            <a:ext uri="{FF2B5EF4-FFF2-40B4-BE49-F238E27FC236}">
              <a16:creationId xmlns="" xmlns:a16="http://schemas.microsoft.com/office/drawing/2014/main" id="{00000000-0008-0000-0000-00004E000000}"/>
            </a:ext>
          </a:extLst>
        </xdr:cNvPr>
        <xdr:cNvSpPr/>
      </xdr:nvSpPr>
      <xdr:spPr>
        <a:xfrm>
          <a:off x="7258050" y="1438612"/>
          <a:ext cx="466726" cy="3898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F2825265-51F0-4070-BFBD-DB9F1B763625}" type="TxLink">
            <a:rPr lang="en-US" sz="24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ctr"/>
            <a:t>1</a:t>
          </a:fld>
          <a:endParaRPr lang="en-US" sz="2400" b="1" i="0" u="none" strike="noStrike">
            <a:solidFill>
              <a:srgbClr val="FFFFFF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12</xdr:col>
      <xdr:colOff>390525</xdr:colOff>
      <xdr:row>7</xdr:row>
      <xdr:rowOff>105112</xdr:rowOff>
    </xdr:from>
    <xdr:to>
      <xdr:col>13</xdr:col>
      <xdr:colOff>247651</xdr:colOff>
      <xdr:row>9</xdr:row>
      <xdr:rowOff>113964</xdr:rowOff>
    </xdr:to>
    <xdr:sp macro="" textlink="$W$24">
      <xdr:nvSpPr>
        <xdr:cNvPr id="79" name="Rectangle 78">
          <a:extLst>
            <a:ext uri="{FF2B5EF4-FFF2-40B4-BE49-F238E27FC236}">
              <a16:creationId xmlns="" xmlns:a16="http://schemas.microsoft.com/office/drawing/2014/main" id="{00000000-0008-0000-0000-00004F000000}"/>
            </a:ext>
          </a:extLst>
        </xdr:cNvPr>
        <xdr:cNvSpPr/>
      </xdr:nvSpPr>
      <xdr:spPr>
        <a:xfrm>
          <a:off x="8134350" y="1438612"/>
          <a:ext cx="466726" cy="3898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B64FA81-59FC-4CE6-9339-1F56B6CFA020}" type="TxLink">
            <a:rPr lang="en-US" sz="24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ctr"/>
            <a:t>1</a:t>
          </a:fld>
          <a:endParaRPr lang="en-US" sz="2400" b="1" i="0" u="none" strike="noStrike">
            <a:solidFill>
              <a:srgbClr val="FFFFFF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14</xdr:col>
      <xdr:colOff>9525</xdr:colOff>
      <xdr:row>7</xdr:row>
      <xdr:rowOff>105112</xdr:rowOff>
    </xdr:from>
    <xdr:to>
      <xdr:col>14</xdr:col>
      <xdr:colOff>476251</xdr:colOff>
      <xdr:row>9</xdr:row>
      <xdr:rowOff>113964</xdr:rowOff>
    </xdr:to>
    <xdr:sp macro="" textlink="$W$25">
      <xdr:nvSpPr>
        <xdr:cNvPr id="80" name="Rectangle 79">
          <a:extLst>
            <a:ext uri="{FF2B5EF4-FFF2-40B4-BE49-F238E27FC236}">
              <a16:creationId xmlns="" xmlns:a16="http://schemas.microsoft.com/office/drawing/2014/main" id="{00000000-0008-0000-0000-000050000000}"/>
            </a:ext>
          </a:extLst>
        </xdr:cNvPr>
        <xdr:cNvSpPr/>
      </xdr:nvSpPr>
      <xdr:spPr>
        <a:xfrm>
          <a:off x="8972550" y="1438612"/>
          <a:ext cx="466726" cy="3898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B0A2347-D6A5-4E39-9F96-54925FB8F4CB}" type="TxLink">
            <a:rPr lang="en-US" sz="24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ctr"/>
            <a:t>2</a:t>
          </a:fld>
          <a:endParaRPr lang="en-US" sz="2400" b="1" i="0" u="none" strike="noStrike">
            <a:solidFill>
              <a:srgbClr val="FFFFFF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16</xdr:col>
      <xdr:colOff>447674</xdr:colOff>
      <xdr:row>4</xdr:row>
      <xdr:rowOff>133350</xdr:rowOff>
    </xdr:from>
    <xdr:to>
      <xdr:col>17</xdr:col>
      <xdr:colOff>591935</xdr:colOff>
      <xdr:row>8</xdr:row>
      <xdr:rowOff>23357</xdr:rowOff>
    </xdr:to>
    <xdr:grpSp>
      <xdr:nvGrpSpPr>
        <xdr:cNvPr id="82" name="Group 81">
          <a:extLst>
            <a:ext uri="{FF2B5EF4-FFF2-40B4-BE49-F238E27FC236}">
              <a16:creationId xmlns="" xmlns:a16="http://schemas.microsoft.com/office/drawing/2014/main" id="{00000000-0008-0000-0000-000052000000}"/>
            </a:ext>
          </a:extLst>
        </xdr:cNvPr>
        <xdr:cNvGrpSpPr/>
      </xdr:nvGrpSpPr>
      <xdr:grpSpPr>
        <a:xfrm>
          <a:off x="10734674" y="895350"/>
          <a:ext cx="749379" cy="652007"/>
          <a:chOff x="10715624" y="762000"/>
          <a:chExt cx="753861" cy="652007"/>
        </a:xfrm>
      </xdr:grpSpPr>
      <xdr:pic>
        <xdr:nvPicPr>
          <xdr:cNvPr id="33" name="Graphic 32" descr="Wedding rings">
            <a:extLst>
              <a:ext uri="{FF2B5EF4-FFF2-40B4-BE49-F238E27FC236}">
                <a16:creationId xmlns=""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858500" y="762000"/>
            <a:ext cx="476250" cy="476250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="" xmlns:a16="http://schemas.microsoft.com/office/drawing/2014/main" id="{00000000-0008-0000-0000-000053000000}"/>
              </a:ext>
            </a:extLst>
          </xdr:cNvPr>
          <xdr:cNvSpPr txBox="1"/>
        </xdr:nvSpPr>
        <xdr:spPr>
          <a:xfrm>
            <a:off x="10715624" y="1152525"/>
            <a:ext cx="753861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Menikah</a:t>
            </a:r>
          </a:p>
        </xdr:txBody>
      </xdr:sp>
    </xdr:grpSp>
    <xdr:clientData/>
  </xdr:twoCellAnchor>
  <xdr:twoCellAnchor>
    <xdr:from>
      <xdr:col>19</xdr:col>
      <xdr:colOff>78442</xdr:colOff>
      <xdr:row>4</xdr:row>
      <xdr:rowOff>109537</xdr:rowOff>
    </xdr:from>
    <xdr:to>
      <xdr:col>20</xdr:col>
      <xdr:colOff>376783</xdr:colOff>
      <xdr:row>8</xdr:row>
      <xdr:rowOff>47169</xdr:rowOff>
    </xdr:to>
    <xdr:grpSp>
      <xdr:nvGrpSpPr>
        <xdr:cNvPr id="81" name="Group 80">
          <a:extLst>
            <a:ext uri="{FF2B5EF4-FFF2-40B4-BE49-F238E27FC236}">
              <a16:creationId xmlns="" xmlns:a16="http://schemas.microsoft.com/office/drawing/2014/main" id="{00000000-0008-0000-0000-000051000000}"/>
            </a:ext>
          </a:extLst>
        </xdr:cNvPr>
        <xdr:cNvGrpSpPr/>
      </xdr:nvGrpSpPr>
      <xdr:grpSpPr>
        <a:xfrm>
          <a:off x="12180795" y="871537"/>
          <a:ext cx="780194" cy="699632"/>
          <a:chOff x="12287249" y="914400"/>
          <a:chExt cx="753861" cy="699632"/>
        </a:xfrm>
      </xdr:grpSpPr>
      <xdr:pic>
        <xdr:nvPicPr>
          <xdr:cNvPr id="36" name="Graphic 35" descr="Ring">
            <a:extLst>
              <a:ext uri="{FF2B5EF4-FFF2-40B4-BE49-F238E27FC236}">
                <a16:creationId xmlns=""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12411075" y="914400"/>
            <a:ext cx="523875" cy="523875"/>
          </a:xfrm>
          <a:prstGeom prst="rect">
            <a:avLst/>
          </a:prstGeom>
        </xdr:spPr>
      </xdr:pic>
      <xdr:sp macro="" textlink="">
        <xdr:nvSpPr>
          <xdr:cNvPr id="84" name="TextBox 83">
            <a:extLst>
              <a:ext uri="{FF2B5EF4-FFF2-40B4-BE49-F238E27FC236}">
                <a16:creationId xmlns="" xmlns:a16="http://schemas.microsoft.com/office/drawing/2014/main" id="{00000000-0008-0000-0000-000054000000}"/>
              </a:ext>
            </a:extLst>
          </xdr:cNvPr>
          <xdr:cNvSpPr txBox="1"/>
        </xdr:nvSpPr>
        <xdr:spPr>
          <a:xfrm>
            <a:off x="12287249" y="1352550"/>
            <a:ext cx="753861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Belum Menikah</a:t>
            </a:r>
          </a:p>
        </xdr:txBody>
      </xdr:sp>
    </xdr:grpSp>
    <xdr:clientData/>
  </xdr:twoCellAnchor>
  <xdr:twoCellAnchor>
    <xdr:from>
      <xdr:col>19</xdr:col>
      <xdr:colOff>304800</xdr:colOff>
      <xdr:row>7</xdr:row>
      <xdr:rowOff>171787</xdr:rowOff>
    </xdr:from>
    <xdr:to>
      <xdr:col>20</xdr:col>
      <xdr:colOff>161926</xdr:colOff>
      <xdr:row>9</xdr:row>
      <xdr:rowOff>180639</xdr:rowOff>
    </xdr:to>
    <xdr:sp macro="" textlink="$W$29">
      <xdr:nvSpPr>
        <xdr:cNvPr id="87" name="Rectangle 86">
          <a:extLst>
            <a:ext uri="{FF2B5EF4-FFF2-40B4-BE49-F238E27FC236}">
              <a16:creationId xmlns="" xmlns:a16="http://schemas.microsoft.com/office/drawing/2014/main" id="{00000000-0008-0000-0000-000057000000}"/>
            </a:ext>
          </a:extLst>
        </xdr:cNvPr>
        <xdr:cNvSpPr/>
      </xdr:nvSpPr>
      <xdr:spPr>
        <a:xfrm>
          <a:off x="12477750" y="1505287"/>
          <a:ext cx="466726" cy="3898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56DE3DA-D5FB-4F1A-933D-73B4FE0A8847}" type="TxLink">
            <a:rPr lang="en-US" sz="24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ctr"/>
            <a:t>2</a:t>
          </a:fld>
          <a:endParaRPr lang="en-US" sz="2400" b="1" i="0" u="none" strike="noStrike">
            <a:solidFill>
              <a:srgbClr val="FFFFFF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16</xdr:col>
      <xdr:colOff>581026</xdr:colOff>
      <xdr:row>7</xdr:row>
      <xdr:rowOff>152400</xdr:rowOff>
    </xdr:from>
    <xdr:to>
      <xdr:col>17</xdr:col>
      <xdr:colOff>461762</xdr:colOff>
      <xdr:row>9</xdr:row>
      <xdr:rowOff>180975</xdr:rowOff>
    </xdr:to>
    <xdr:sp macro="" textlink="$W$28">
      <xdr:nvSpPr>
        <xdr:cNvPr id="88" name="Rectangle 87">
          <a:extLst>
            <a:ext uri="{FF2B5EF4-FFF2-40B4-BE49-F238E27FC236}">
              <a16:creationId xmlns="" xmlns:a16="http://schemas.microsoft.com/office/drawing/2014/main" id="{00000000-0008-0000-0000-000058000000}"/>
            </a:ext>
          </a:extLst>
        </xdr:cNvPr>
        <xdr:cNvSpPr/>
      </xdr:nvSpPr>
      <xdr:spPr>
        <a:xfrm>
          <a:off x="10925176" y="1485900"/>
          <a:ext cx="490336" cy="409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D4F4845-4E8D-467C-B9C9-7B4BEB4384B1}" type="TxLink">
            <a:rPr lang="en-US" sz="2400" b="1" i="0" u="none" strike="noStrike">
              <a:solidFill>
                <a:srgbClr val="FFFFFF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ctr"/>
            <a:t>3</a:t>
          </a:fld>
          <a:endParaRPr lang="en-US" sz="2400" b="1" i="0" u="none" strike="noStrike">
            <a:solidFill>
              <a:srgbClr val="FFFFFF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14</xdr:row>
          <xdr:rowOff>9525</xdr:rowOff>
        </xdr:from>
        <xdr:to>
          <xdr:col>19</xdr:col>
          <xdr:colOff>371475</xdr:colOff>
          <xdr:row>29</xdr:row>
          <xdr:rowOff>57150</xdr:rowOff>
        </xdr:to>
        <xdr:sp macro="" textlink="">
          <xdr:nvSpPr>
            <xdr:cNvPr id="3075" name="TABELDATA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</xdr:row>
      <xdr:rowOff>114300</xdr:rowOff>
    </xdr:from>
    <xdr:ext cx="2450158" cy="523285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14300" y="495300"/>
          <a:ext cx="2450158" cy="52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d-ID" sz="2800" b="1">
              <a:solidFill>
                <a:srgbClr val="137CBD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KWITANSI GAJI</a:t>
          </a:r>
        </a:p>
      </xdr:txBody>
    </xdr:sp>
    <xdr:clientData/>
  </xdr:oneCellAnchor>
  <xdr:oneCellAnchor>
    <xdr:from>
      <xdr:col>0</xdr:col>
      <xdr:colOff>114300</xdr:colOff>
      <xdr:row>4</xdr:row>
      <xdr:rowOff>95250</xdr:rowOff>
    </xdr:from>
    <xdr:ext cx="2150332" cy="253916"/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14300" y="866775"/>
          <a:ext cx="2150332" cy="2539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d-ID" sz="1050" b="1">
              <a:solidFill>
                <a:schemeClr val="tx1">
                  <a:lumMod val="75000"/>
                  <a:lumOff val="2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SMP</a:t>
          </a:r>
          <a:r>
            <a:rPr lang="id-ID" sz="1050" b="1" baseline="0">
              <a:solidFill>
                <a:schemeClr val="tx1">
                  <a:lumMod val="75000"/>
                  <a:lumOff val="2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NEGRI EXCEL &amp; VBA TUTORIAL</a:t>
          </a:r>
          <a:endParaRPr lang="id-ID" sz="1050" b="1">
            <a:solidFill>
              <a:schemeClr val="tx1">
                <a:lumMod val="75000"/>
                <a:lumOff val="25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oneCellAnchor>
    <xdr:from>
      <xdr:col>0</xdr:col>
      <xdr:colOff>114300</xdr:colOff>
      <xdr:row>27</xdr:row>
      <xdr:rowOff>114300</xdr:rowOff>
    </xdr:from>
    <xdr:ext cx="2450158" cy="523285"/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14300" y="495300"/>
          <a:ext cx="2450158" cy="523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d-ID" sz="2800" b="1">
              <a:solidFill>
                <a:srgbClr val="137CBD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KWITANSI GAJI</a:t>
          </a:r>
        </a:p>
      </xdr:txBody>
    </xdr:sp>
    <xdr:clientData/>
  </xdr:oneCellAnchor>
  <xdr:oneCellAnchor>
    <xdr:from>
      <xdr:col>0</xdr:col>
      <xdr:colOff>114300</xdr:colOff>
      <xdr:row>29</xdr:row>
      <xdr:rowOff>95250</xdr:rowOff>
    </xdr:from>
    <xdr:ext cx="2150332" cy="253916"/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14300" y="866775"/>
          <a:ext cx="2150332" cy="2539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d-ID" sz="1050" b="1">
              <a:solidFill>
                <a:schemeClr val="tx1">
                  <a:lumMod val="75000"/>
                  <a:lumOff val="2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SMP</a:t>
          </a:r>
          <a:r>
            <a:rPr lang="id-ID" sz="1050" b="1" baseline="0">
              <a:solidFill>
                <a:schemeClr val="tx1">
                  <a:lumMod val="75000"/>
                  <a:lumOff val="2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NEGRI EXCEL &amp; VBA TUTORIAL</a:t>
          </a:r>
          <a:endParaRPr lang="id-ID" sz="1050" b="1">
            <a:solidFill>
              <a:schemeClr val="tx1">
                <a:lumMod val="75000"/>
                <a:lumOff val="25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 editAs="absolute">
    <xdr:from>
      <xdr:col>5</xdr:col>
      <xdr:colOff>9526</xdr:colOff>
      <xdr:row>0</xdr:row>
      <xdr:rowOff>95250</xdr:rowOff>
    </xdr:from>
    <xdr:to>
      <xdr:col>7</xdr:col>
      <xdr:colOff>609599</xdr:colOff>
      <xdr:row>2</xdr:row>
      <xdr:rowOff>57151</xdr:rowOff>
    </xdr:to>
    <xdr:grpSp>
      <xdr:nvGrpSpPr>
        <xdr:cNvPr id="15" name="BTNGURU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GrpSpPr>
          <a:grpSpLocks noChangeAspect="1"/>
        </xdr:cNvGrpSpPr>
      </xdr:nvGrpSpPr>
      <xdr:grpSpPr>
        <a:xfrm>
          <a:off x="3762376" y="95250"/>
          <a:ext cx="1838323" cy="342901"/>
          <a:chOff x="2533649" y="314324"/>
          <a:chExt cx="1829469" cy="342901"/>
        </a:xfrm>
      </xdr:grpSpPr>
      <xdr:sp macro="[0]!MenuUtama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533649" y="314324"/>
            <a:ext cx="1829469" cy="342901"/>
          </a:xfrm>
          <a:prstGeom prst="rect">
            <a:avLst/>
          </a:prstGeom>
          <a:solidFill>
            <a:srgbClr val="137CB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d-ID" sz="1100">
                <a:latin typeface="Roboto Condensed" panose="02000000000000000000" pitchFamily="2" charset="0"/>
                <a:ea typeface="Roboto Condensed" panose="02000000000000000000" pitchFamily="2" charset="0"/>
              </a:rPr>
              <a:t>Kembali Ke Menu</a:t>
            </a:r>
            <a:endParaRPr lang="en-US" sz="1100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pic macro="[0]!MenuUtama">
        <xdr:nvPicPr>
          <xdr:cNvPr id="17" name="Graphic 19" descr="User">
            <a:extLst>
              <a:ext uri="{FF2B5EF4-FFF2-40B4-BE49-F238E27FC236}">
                <a16:creationId xmlns="" xmlns:a16="http://schemas.microsoft.com/office/drawing/2014/main" id="{00000000-0008-0000-03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38425" y="333375"/>
            <a:ext cx="295350" cy="295350"/>
          </a:xfrm>
          <a:prstGeom prst="rect">
            <a:avLst/>
          </a:prstGeom>
        </xdr:spPr>
      </xdr:pic>
    </xdr:grp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B293089-3F48-48B2-BFDD-9EF17CF8A3BF}">
  <we:reference id="wa104379220" version="8.0.0.0" store="en-US" storeType="OMEX"/>
  <we:alternateReferences>
    <we:reference id="wa104379220" version="8.0.0.0" store="WA104379220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6:W29"/>
  <sheetViews>
    <sheetView showGridLines="0" tabSelected="1" zoomScale="85" zoomScaleNormal="85" workbookViewId="0">
      <selection activeCell="O33" sqref="O33"/>
    </sheetView>
  </sheetViews>
  <sheetFormatPr defaultColWidth="9.140625" defaultRowHeight="15" x14ac:dyDescent="0.25"/>
  <cols>
    <col min="1" max="2" width="9.140625" style="13"/>
    <col min="3" max="3" width="13.140625" style="13" customWidth="1"/>
    <col min="4" max="4" width="9.140625" style="13"/>
    <col min="5" max="5" width="11.5703125" style="13" bestFit="1" customWidth="1"/>
    <col min="6" max="15" width="9.140625" style="13"/>
    <col min="16" max="16" width="11.5703125" style="13" bestFit="1" customWidth="1"/>
    <col min="17" max="19" width="9.140625" style="13"/>
    <col min="20" max="20" width="7.140625" style="13" customWidth="1"/>
    <col min="21" max="16384" width="9.140625" style="13"/>
  </cols>
  <sheetData>
    <row r="6" spans="5:23" x14ac:dyDescent="0.25">
      <c r="E6" s="14"/>
    </row>
    <row r="7" spans="5:23" x14ac:dyDescent="0.25">
      <c r="K7" s="15"/>
    </row>
    <row r="9" spans="5:23" x14ac:dyDescent="0.25">
      <c r="P9" s="14"/>
    </row>
    <row r="15" spans="5:23" x14ac:dyDescent="0.25">
      <c r="U15" s="39" t="s">
        <v>55</v>
      </c>
      <c r="V15" s="39"/>
      <c r="W15" s="39"/>
    </row>
    <row r="17" spans="1:23" x14ac:dyDescent="0.25">
      <c r="U17" s="40" t="s">
        <v>1</v>
      </c>
      <c r="V17" s="40"/>
      <c r="W17" s="35" t="s">
        <v>56</v>
      </c>
    </row>
    <row r="18" spans="1:23" x14ac:dyDescent="0.25">
      <c r="U18" s="38" t="s">
        <v>18</v>
      </c>
      <c r="V18" s="38"/>
      <c r="W18" s="36">
        <f>COUNTIF(DATAGURU!$C$2:$C$700,'MENU UTAMA'!U18)</f>
        <v>3</v>
      </c>
    </row>
    <row r="19" spans="1:23" x14ac:dyDescent="0.25">
      <c r="U19" s="38" t="s">
        <v>30</v>
      </c>
      <c r="V19" s="38"/>
      <c r="W19" s="36">
        <f>COUNTIF(DATAGURU!$C$2:$C$700,'MENU UTAMA'!U19)</f>
        <v>3</v>
      </c>
    </row>
    <row r="20" spans="1:23" x14ac:dyDescent="0.25">
      <c r="W20" s="37"/>
    </row>
    <row r="21" spans="1:23" x14ac:dyDescent="0.25">
      <c r="U21" s="40" t="s">
        <v>2</v>
      </c>
      <c r="V21" s="40"/>
      <c r="W21" s="35" t="s">
        <v>56</v>
      </c>
    </row>
    <row r="22" spans="1:23" x14ac:dyDescent="0.25">
      <c r="U22" s="38" t="s">
        <v>11</v>
      </c>
      <c r="V22" s="38"/>
      <c r="W22" s="36">
        <f>COUNTIF(DATAGURU!$E$2:$E$700,'MENU UTAMA'!U22)</f>
        <v>2</v>
      </c>
    </row>
    <row r="23" spans="1:23" x14ac:dyDescent="0.25">
      <c r="A23" s="13" t="s">
        <v>9</v>
      </c>
      <c r="B23" s="13" t="s">
        <v>10</v>
      </c>
      <c r="C23" s="13" t="s">
        <v>18</v>
      </c>
      <c r="U23" s="38" t="s">
        <v>31</v>
      </c>
      <c r="V23" s="38"/>
      <c r="W23" s="36">
        <f>COUNTIF(DATAGURU!$E$2:$E$700,'MENU UTAMA'!U23)</f>
        <v>1</v>
      </c>
    </row>
    <row r="24" spans="1:23" x14ac:dyDescent="0.25">
      <c r="U24" s="38" t="s">
        <v>32</v>
      </c>
      <c r="V24" s="38"/>
      <c r="W24" s="36">
        <f>COUNTIF(DATAGURU!$E$2:$E$700,'MENU UTAMA'!U24)</f>
        <v>1</v>
      </c>
    </row>
    <row r="25" spans="1:23" x14ac:dyDescent="0.25">
      <c r="U25" s="38" t="s">
        <v>33</v>
      </c>
      <c r="V25" s="38"/>
      <c r="W25" s="36">
        <f>COUNTIF(DATAGURU!$E$2:$E$700,'MENU UTAMA'!U25)</f>
        <v>2</v>
      </c>
    </row>
    <row r="26" spans="1:23" x14ac:dyDescent="0.25">
      <c r="W26" s="37"/>
    </row>
    <row r="27" spans="1:23" x14ac:dyDescent="0.25">
      <c r="U27" s="40" t="s">
        <v>3</v>
      </c>
      <c r="V27" s="40"/>
      <c r="W27" s="35" t="s">
        <v>56</v>
      </c>
    </row>
    <row r="28" spans="1:23" x14ac:dyDescent="0.25">
      <c r="U28" s="38" t="s">
        <v>7</v>
      </c>
      <c r="V28" s="38"/>
      <c r="W28" s="36">
        <f>COUNTIF(DATAGURU!$F$2:$F$700,'MENU UTAMA'!U28)</f>
        <v>3</v>
      </c>
    </row>
    <row r="29" spans="1:23" x14ac:dyDescent="0.25">
      <c r="U29" s="38" t="s">
        <v>34</v>
      </c>
      <c r="V29" s="38"/>
      <c r="W29" s="36">
        <f>COUNTIF(DATAGURU!$F$2:$F$700,'MENU UTAMA'!U29)</f>
        <v>2</v>
      </c>
    </row>
  </sheetData>
  <mergeCells count="12">
    <mergeCell ref="U29:V29"/>
    <mergeCell ref="U15:W15"/>
    <mergeCell ref="U17:V17"/>
    <mergeCell ref="U18:V18"/>
    <mergeCell ref="U19:V19"/>
    <mergeCell ref="U21:V21"/>
    <mergeCell ref="U22:V22"/>
    <mergeCell ref="U23:V23"/>
    <mergeCell ref="U24:V24"/>
    <mergeCell ref="U25:V25"/>
    <mergeCell ref="U27:V27"/>
    <mergeCell ref="U28:V2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TABELDATA">
          <controlPr defaultSize="0" autoLine="0" listFillRange="DATAGURU!$A$2:$H$8" r:id="rId5">
            <anchor moveWithCells="1">
              <from>
                <xdr:col>3</xdr:col>
                <xdr:colOff>133350</xdr:colOff>
                <xdr:row>14</xdr:row>
                <xdr:rowOff>9525</xdr:rowOff>
              </from>
              <to>
                <xdr:col>19</xdr:col>
                <xdr:colOff>371475</xdr:colOff>
                <xdr:row>29</xdr:row>
                <xdr:rowOff>57150</xdr:rowOff>
              </to>
            </anchor>
          </controlPr>
        </control>
      </mc:Choice>
      <mc:Fallback>
        <control shapeId="3075" r:id="rId4" name="TABEL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"/>
  <sheetViews>
    <sheetView showGridLines="0" zoomScaleNormal="100" workbookViewId="0">
      <selection activeCell="A7" sqref="A7:H7"/>
    </sheetView>
  </sheetViews>
  <sheetFormatPr defaultColWidth="9.140625" defaultRowHeight="15" x14ac:dyDescent="0.25"/>
  <cols>
    <col min="1" max="1" width="13.85546875" style="7" customWidth="1"/>
    <col min="2" max="2" width="21.140625" style="1" customWidth="1"/>
    <col min="3" max="3" width="13.7109375" style="1" customWidth="1"/>
    <col min="4" max="4" width="21.42578125" style="1" customWidth="1"/>
    <col min="5" max="5" width="16.42578125" style="1" bestFit="1" customWidth="1"/>
    <col min="6" max="6" width="17.140625" style="1" customWidth="1"/>
    <col min="7" max="7" width="20.7109375" style="5" customWidth="1"/>
    <col min="8" max="8" width="14.42578125" style="6" customWidth="1"/>
    <col min="9" max="9" width="10.42578125" style="1" bestFit="1" customWidth="1"/>
    <col min="10" max="10" width="10.5703125" style="1" customWidth="1"/>
    <col min="11" max="16384" width="9.140625" style="1"/>
  </cols>
  <sheetData>
    <row r="1" spans="1:19" ht="19.5" customHeight="1" x14ac:dyDescent="0.25">
      <c r="A1" s="3" t="s">
        <v>17</v>
      </c>
      <c r="B1" s="3" t="s">
        <v>0</v>
      </c>
      <c r="C1" s="3" t="s">
        <v>1</v>
      </c>
      <c r="D1" s="3" t="s">
        <v>16</v>
      </c>
      <c r="E1" s="3" t="s">
        <v>2</v>
      </c>
      <c r="F1" s="3" t="s">
        <v>3</v>
      </c>
      <c r="G1" s="3" t="s">
        <v>5</v>
      </c>
      <c r="H1" s="3" t="s">
        <v>4</v>
      </c>
      <c r="J1" s="3" t="s">
        <v>0</v>
      </c>
      <c r="L1" s="3" t="s">
        <v>17</v>
      </c>
      <c r="M1" s="3" t="s">
        <v>0</v>
      </c>
      <c r="N1" s="3" t="s">
        <v>1</v>
      </c>
      <c r="O1" s="3" t="s">
        <v>16</v>
      </c>
      <c r="P1" s="3" t="s">
        <v>2</v>
      </c>
      <c r="Q1" s="3" t="s">
        <v>3</v>
      </c>
      <c r="R1" s="3" t="s">
        <v>5</v>
      </c>
      <c r="S1" s="3" t="s">
        <v>4</v>
      </c>
    </row>
    <row r="2" spans="1:19" x14ac:dyDescent="0.25">
      <c r="A2" s="4" t="s">
        <v>8</v>
      </c>
      <c r="B2" s="1" t="s">
        <v>26</v>
      </c>
      <c r="C2" s="1" t="s">
        <v>18</v>
      </c>
      <c r="D2" s="1" t="s">
        <v>42</v>
      </c>
      <c r="E2" s="1" t="s">
        <v>11</v>
      </c>
      <c r="F2" s="1" t="s">
        <v>7</v>
      </c>
      <c r="G2" s="5">
        <v>43208</v>
      </c>
      <c r="H2" s="6">
        <v>50000</v>
      </c>
      <c r="J2" s="1" t="s">
        <v>26</v>
      </c>
    </row>
    <row r="3" spans="1:19" x14ac:dyDescent="0.25">
      <c r="A3" s="4" t="s">
        <v>15</v>
      </c>
      <c r="B3" s="1" t="s">
        <v>27</v>
      </c>
      <c r="C3" s="1" t="s">
        <v>30</v>
      </c>
      <c r="D3" s="1" t="s">
        <v>43</v>
      </c>
      <c r="E3" s="1" t="s">
        <v>31</v>
      </c>
      <c r="F3" s="1" t="s">
        <v>34</v>
      </c>
      <c r="G3" s="5">
        <v>43210</v>
      </c>
      <c r="H3" s="6">
        <v>150000</v>
      </c>
    </row>
    <row r="4" spans="1:19" x14ac:dyDescent="0.25">
      <c r="A4" s="4" t="s">
        <v>23</v>
      </c>
      <c r="B4" s="1" t="s">
        <v>28</v>
      </c>
      <c r="C4" s="1" t="s">
        <v>30</v>
      </c>
      <c r="D4" s="1" t="s">
        <v>40</v>
      </c>
      <c r="E4" s="1" t="s">
        <v>32</v>
      </c>
      <c r="F4" s="1" t="s">
        <v>34</v>
      </c>
      <c r="G4" s="5">
        <v>43211</v>
      </c>
      <c r="H4" s="6">
        <v>150000</v>
      </c>
    </row>
    <row r="5" spans="1:19" x14ac:dyDescent="0.25">
      <c r="A5" s="4" t="s">
        <v>24</v>
      </c>
      <c r="B5" s="1" t="s">
        <v>60</v>
      </c>
      <c r="C5" s="1" t="s">
        <v>18</v>
      </c>
      <c r="D5" s="1" t="s">
        <v>6</v>
      </c>
      <c r="E5" s="1" t="s">
        <v>11</v>
      </c>
      <c r="F5" s="1" t="s">
        <v>7</v>
      </c>
      <c r="G5" s="5">
        <v>43212</v>
      </c>
      <c r="H5" s="6">
        <v>150000</v>
      </c>
    </row>
    <row r="6" spans="1:19" x14ac:dyDescent="0.25">
      <c r="A6" s="4" t="s">
        <v>25</v>
      </c>
      <c r="B6" s="1" t="s">
        <v>29</v>
      </c>
      <c r="C6" s="1" t="s">
        <v>30</v>
      </c>
      <c r="D6" s="1" t="s">
        <v>6</v>
      </c>
      <c r="E6" s="1" t="s">
        <v>33</v>
      </c>
      <c r="F6" s="1" t="s">
        <v>7</v>
      </c>
      <c r="G6" s="5">
        <v>43213</v>
      </c>
      <c r="H6" s="6">
        <v>150000</v>
      </c>
    </row>
    <row r="7" spans="1:19" x14ac:dyDescent="0.25">
      <c r="A7" s="7" t="s">
        <v>9</v>
      </c>
      <c r="B7" s="1" t="s">
        <v>57</v>
      </c>
      <c r="C7" s="1" t="s">
        <v>18</v>
      </c>
      <c r="D7" s="1" t="s">
        <v>58</v>
      </c>
      <c r="E7" s="1" t="s">
        <v>33</v>
      </c>
      <c r="F7" s="1" t="s">
        <v>59</v>
      </c>
      <c r="G7" s="5">
        <v>43926</v>
      </c>
      <c r="H7" s="6">
        <v>20000</v>
      </c>
    </row>
    <row r="8" spans="1:19" x14ac:dyDescent="0.25">
      <c r="A8" s="4"/>
    </row>
  </sheetData>
  <sortState ref="A2:H8">
    <sortCondition ref="A1"/>
  </sortState>
  <conditionalFormatting sqref="A2:H29981">
    <cfRule type="expression" dxfId="3" priority="2">
      <formula>A2&lt;&gt;""</formula>
    </cfRule>
  </conditionalFormatting>
  <conditionalFormatting sqref="J2">
    <cfRule type="expression" dxfId="2" priority="1">
      <formula>J2&lt;&gt;""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8"/>
  <sheetViews>
    <sheetView showGridLines="0" topLeftCell="H1" zoomScaleNormal="100" workbookViewId="0">
      <selection activeCell="H25" sqref="H25"/>
    </sheetView>
  </sheetViews>
  <sheetFormatPr defaultColWidth="9.140625" defaultRowHeight="15" x14ac:dyDescent="0.25"/>
  <cols>
    <col min="1" max="1" width="18.42578125" style="1" bestFit="1" customWidth="1"/>
    <col min="2" max="2" width="13.85546875" style="7" customWidth="1"/>
    <col min="3" max="3" width="21.140625" style="1" customWidth="1"/>
    <col min="4" max="4" width="13.7109375" style="1" customWidth="1"/>
    <col min="5" max="5" width="15.5703125" style="10" bestFit="1" customWidth="1"/>
    <col min="6" max="6" width="9.5703125" style="1" bestFit="1" customWidth="1"/>
    <col min="7" max="7" width="9.42578125" style="18" bestFit="1" customWidth="1"/>
    <col min="8" max="8" width="9.85546875" style="1" bestFit="1" customWidth="1"/>
    <col min="9" max="9" width="11.7109375" style="6" bestFit="1" customWidth="1"/>
    <col min="10" max="16" width="14.7109375" style="11" customWidth="1"/>
    <col min="17" max="17" width="16.28515625" style="6" customWidth="1"/>
    <col min="18" max="18" width="20" style="1" bestFit="1" customWidth="1"/>
    <col min="19" max="19" width="3.85546875" style="1" customWidth="1"/>
    <col min="20" max="22" width="9.140625" style="1"/>
    <col min="23" max="23" width="9.7109375" style="1" bestFit="1" customWidth="1"/>
    <col min="24" max="28" width="9.140625" style="1"/>
    <col min="29" max="29" width="9.5703125" style="1" bestFit="1" customWidth="1"/>
    <col min="30" max="33" width="9.140625" style="1"/>
    <col min="34" max="34" width="10.85546875" style="1" customWidth="1"/>
    <col min="35" max="16384" width="9.140625" style="1"/>
  </cols>
  <sheetData>
    <row r="1" spans="1:35" ht="19.5" customHeight="1" x14ac:dyDescent="0.25">
      <c r="A1" s="16" t="s">
        <v>22</v>
      </c>
      <c r="B1" s="16" t="s">
        <v>17</v>
      </c>
      <c r="C1" s="16" t="s">
        <v>0</v>
      </c>
      <c r="D1" s="16" t="s">
        <v>1</v>
      </c>
      <c r="E1" s="9" t="s">
        <v>13</v>
      </c>
      <c r="F1" s="16" t="s">
        <v>19</v>
      </c>
      <c r="G1" s="17" t="s">
        <v>20</v>
      </c>
      <c r="H1" s="16" t="s">
        <v>14</v>
      </c>
      <c r="I1" s="16" t="s">
        <v>4</v>
      </c>
      <c r="J1" s="16" t="s">
        <v>12</v>
      </c>
      <c r="K1" s="16" t="s">
        <v>35</v>
      </c>
      <c r="L1" s="16" t="s">
        <v>36</v>
      </c>
      <c r="M1" s="16" t="s">
        <v>37</v>
      </c>
      <c r="N1" s="16" t="s">
        <v>38</v>
      </c>
      <c r="O1" s="16" t="s">
        <v>39</v>
      </c>
      <c r="P1" s="16" t="s">
        <v>12</v>
      </c>
      <c r="Q1" s="1"/>
      <c r="R1" s="16" t="s">
        <v>0</v>
      </c>
      <c r="T1" s="16" t="s">
        <v>22</v>
      </c>
      <c r="U1" s="16" t="s">
        <v>17</v>
      </c>
      <c r="V1" s="16" t="s">
        <v>0</v>
      </c>
      <c r="W1" s="16" t="s">
        <v>1</v>
      </c>
      <c r="X1" s="9" t="s">
        <v>13</v>
      </c>
      <c r="Y1" s="16" t="s">
        <v>19</v>
      </c>
      <c r="Z1" s="17" t="s">
        <v>20</v>
      </c>
      <c r="AA1" s="16" t="s">
        <v>14</v>
      </c>
      <c r="AB1" s="16" t="s">
        <v>4</v>
      </c>
      <c r="AC1" s="16" t="s">
        <v>12</v>
      </c>
      <c r="AD1" s="16" t="s">
        <v>35</v>
      </c>
      <c r="AE1" s="16" t="s">
        <v>36</v>
      </c>
      <c r="AF1" s="16" t="s">
        <v>37</v>
      </c>
      <c r="AG1" s="16" t="s">
        <v>38</v>
      </c>
      <c r="AH1" s="16" t="s">
        <v>39</v>
      </c>
      <c r="AI1" s="16" t="s">
        <v>12</v>
      </c>
    </row>
    <row r="2" spans="1:35" x14ac:dyDescent="0.25">
      <c r="A2" s="1" t="s">
        <v>41</v>
      </c>
      <c r="B2" s="4" t="s">
        <v>8</v>
      </c>
      <c r="C2" s="1" t="s">
        <v>26</v>
      </c>
      <c r="D2" s="1" t="s">
        <v>18</v>
      </c>
      <c r="E2" s="21">
        <v>44134</v>
      </c>
      <c r="F2" s="2" t="s">
        <v>21</v>
      </c>
      <c r="G2" s="18">
        <v>2020</v>
      </c>
      <c r="H2" s="10">
        <v>10</v>
      </c>
      <c r="I2" s="12">
        <v>50000</v>
      </c>
      <c r="J2" s="11">
        <v>500000</v>
      </c>
      <c r="K2" s="11">
        <v>50000</v>
      </c>
      <c r="L2" s="11">
        <v>60000</v>
      </c>
      <c r="M2" s="11">
        <v>50000</v>
      </c>
      <c r="N2" s="11">
        <v>0</v>
      </c>
      <c r="O2" s="11">
        <v>160000</v>
      </c>
      <c r="P2" s="11">
        <v>660000</v>
      </c>
      <c r="Q2" s="1"/>
      <c r="R2" s="1" t="s">
        <v>45</v>
      </c>
      <c r="T2" s="1" t="s">
        <v>41</v>
      </c>
      <c r="U2" s="4" t="s">
        <v>8</v>
      </c>
      <c r="V2" s="1" t="s">
        <v>26</v>
      </c>
      <c r="W2" s="1" t="s">
        <v>18</v>
      </c>
      <c r="X2" s="21">
        <v>44134</v>
      </c>
      <c r="Y2" s="2" t="s">
        <v>21</v>
      </c>
      <c r="Z2" s="18">
        <v>2020</v>
      </c>
      <c r="AA2" s="10">
        <v>10</v>
      </c>
      <c r="AB2" s="12">
        <v>50000</v>
      </c>
      <c r="AC2" s="11">
        <v>500000</v>
      </c>
      <c r="AD2" s="11">
        <v>50000</v>
      </c>
      <c r="AE2" s="11">
        <v>60000</v>
      </c>
      <c r="AF2" s="11">
        <v>50000</v>
      </c>
      <c r="AG2" s="11">
        <v>0</v>
      </c>
      <c r="AH2" s="11">
        <v>160000</v>
      </c>
      <c r="AI2" s="11">
        <v>500000</v>
      </c>
    </row>
    <row r="3" spans="1:35" x14ac:dyDescent="0.25">
      <c r="A3" s="1" t="s">
        <v>46</v>
      </c>
      <c r="B3" s="4" t="s">
        <v>15</v>
      </c>
      <c r="C3" s="1" t="s">
        <v>27</v>
      </c>
      <c r="D3" s="1" t="s">
        <v>30</v>
      </c>
      <c r="E3" s="21" t="s">
        <v>47</v>
      </c>
      <c r="F3" s="2" t="s">
        <v>21</v>
      </c>
      <c r="G3" s="18">
        <v>2020</v>
      </c>
      <c r="H3" s="8">
        <v>12</v>
      </c>
      <c r="I3" s="12">
        <v>150000</v>
      </c>
      <c r="J3" s="11">
        <v>1800000</v>
      </c>
      <c r="P3" s="11">
        <v>1800000</v>
      </c>
      <c r="Q3" s="1"/>
      <c r="T3" s="1" t="s">
        <v>46</v>
      </c>
      <c r="U3" s="4" t="s">
        <v>15</v>
      </c>
      <c r="V3" s="1" t="s">
        <v>27</v>
      </c>
      <c r="W3" s="1" t="s">
        <v>30</v>
      </c>
      <c r="X3" s="21" t="s">
        <v>47</v>
      </c>
      <c r="Y3" s="2" t="s">
        <v>21</v>
      </c>
      <c r="Z3" s="18">
        <v>2020</v>
      </c>
      <c r="AA3" s="8">
        <v>12</v>
      </c>
      <c r="AB3" s="12">
        <v>150000</v>
      </c>
      <c r="AC3" s="11">
        <v>1800000</v>
      </c>
      <c r="AD3" s="11"/>
      <c r="AE3" s="11"/>
      <c r="AF3" s="11"/>
      <c r="AG3" s="11"/>
      <c r="AH3" s="11"/>
      <c r="AI3" s="11">
        <v>1800000</v>
      </c>
    </row>
    <row r="4" spans="1:35" x14ac:dyDescent="0.25">
      <c r="A4" s="1" t="s">
        <v>62</v>
      </c>
      <c r="B4" s="4" t="s">
        <v>25</v>
      </c>
      <c r="C4" s="1" t="s">
        <v>29</v>
      </c>
      <c r="D4" s="1" t="s">
        <v>30</v>
      </c>
      <c r="E4" s="19">
        <v>44366</v>
      </c>
      <c r="F4" s="1" t="s">
        <v>61</v>
      </c>
      <c r="G4" s="18">
        <v>2021</v>
      </c>
      <c r="H4" s="10">
        <v>12</v>
      </c>
      <c r="I4" s="12">
        <v>150000</v>
      </c>
      <c r="J4" s="11">
        <v>1800000</v>
      </c>
      <c r="K4" s="11">
        <v>150000</v>
      </c>
      <c r="L4" s="11">
        <v>200000</v>
      </c>
      <c r="O4" s="11">
        <v>350000</v>
      </c>
      <c r="P4" s="11">
        <v>2150000</v>
      </c>
      <c r="Q4" s="1"/>
      <c r="T4" s="1" t="s">
        <v>62</v>
      </c>
      <c r="U4" s="4" t="s">
        <v>25</v>
      </c>
      <c r="V4" s="1" t="s">
        <v>29</v>
      </c>
      <c r="W4" s="1" t="s">
        <v>30</v>
      </c>
      <c r="X4" s="19">
        <v>44366</v>
      </c>
      <c r="Y4" s="1" t="s">
        <v>61</v>
      </c>
      <c r="Z4" s="18">
        <v>2021</v>
      </c>
      <c r="AA4" s="10">
        <v>12</v>
      </c>
      <c r="AB4" s="12">
        <v>150000</v>
      </c>
      <c r="AC4" s="11">
        <v>1800000</v>
      </c>
      <c r="AD4" s="11">
        <v>150000</v>
      </c>
      <c r="AE4" s="11">
        <v>200000</v>
      </c>
      <c r="AF4" s="11"/>
      <c r="AG4" s="11"/>
      <c r="AH4" s="11">
        <v>350000</v>
      </c>
      <c r="AI4" s="11">
        <v>1800000</v>
      </c>
    </row>
    <row r="5" spans="1:35" x14ac:dyDescent="0.25">
      <c r="B5" s="4"/>
      <c r="E5" s="21"/>
      <c r="H5" s="20"/>
      <c r="I5" s="12"/>
      <c r="Q5" s="1"/>
    </row>
    <row r="6" spans="1:35" x14ac:dyDescent="0.25">
      <c r="E6" s="19"/>
      <c r="H6" s="10"/>
      <c r="I6" s="12"/>
    </row>
    <row r="7" spans="1:35" x14ac:dyDescent="0.25">
      <c r="H7" s="10"/>
      <c r="I7" s="12"/>
    </row>
    <row r="8" spans="1:35" x14ac:dyDescent="0.25">
      <c r="H8" s="10"/>
      <c r="I8" s="12"/>
    </row>
    <row r="9" spans="1:35" x14ac:dyDescent="0.25">
      <c r="H9" s="10"/>
      <c r="I9" s="12"/>
    </row>
    <row r="10" spans="1:35" x14ac:dyDescent="0.25">
      <c r="H10" s="10"/>
      <c r="I10" s="12"/>
    </row>
    <row r="11" spans="1:35" x14ac:dyDescent="0.25">
      <c r="H11" s="10"/>
      <c r="I11" s="12"/>
    </row>
    <row r="12" spans="1:35" x14ac:dyDescent="0.25">
      <c r="H12" s="10"/>
      <c r="I12" s="12"/>
    </row>
    <row r="13" spans="1:35" x14ac:dyDescent="0.25">
      <c r="H13" s="10"/>
    </row>
    <row r="14" spans="1:35" x14ac:dyDescent="0.25">
      <c r="H14" s="10"/>
    </row>
    <row r="15" spans="1:35" x14ac:dyDescent="0.25">
      <c r="H15" s="10"/>
    </row>
    <row r="16" spans="1:35" x14ac:dyDescent="0.25">
      <c r="H16" s="10"/>
    </row>
    <row r="17" spans="8:8" x14ac:dyDescent="0.25">
      <c r="H17" s="10"/>
    </row>
    <row r="18" spans="8:8" x14ac:dyDescent="0.25">
      <c r="H18" s="10"/>
    </row>
  </sheetData>
  <sortState ref="A2:P18">
    <sortCondition ref="A1"/>
  </sortState>
  <conditionalFormatting sqref="A2:P18982">
    <cfRule type="expression" dxfId="1" priority="2">
      <formula>A2&lt;&gt;""</formula>
    </cfRule>
  </conditionalFormatting>
  <conditionalFormatting sqref="R2">
    <cfRule type="expression" dxfId="0" priority="1">
      <formula>R2&lt;&gt;""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9"/>
  <sheetViews>
    <sheetView showGridLines="0" zoomScaleNormal="100" workbookViewId="0">
      <selection activeCell="J8" sqref="J8"/>
    </sheetView>
  </sheetViews>
  <sheetFormatPr defaultRowHeight="15" x14ac:dyDescent="0.25"/>
  <cols>
    <col min="1" max="1" width="12.140625" customWidth="1"/>
    <col min="2" max="4" width="9.28515625" customWidth="1"/>
    <col min="5" max="5" width="16.28515625" customWidth="1"/>
    <col min="6" max="8" width="9.28515625" customWidth="1"/>
    <col min="9" max="9" width="9.28515625" style="24" customWidth="1"/>
    <col min="10" max="11" width="9.28515625" style="23" customWidth="1"/>
    <col min="12" max="17" width="9.28515625" customWidth="1"/>
  </cols>
  <sheetData>
    <row r="1" spans="1:13" x14ac:dyDescent="0.25">
      <c r="G1" s="22"/>
      <c r="H1" s="22"/>
      <c r="M1" t="s">
        <v>45</v>
      </c>
    </row>
    <row r="2" spans="1:13" x14ac:dyDescent="0.25">
      <c r="G2" s="22"/>
    </row>
    <row r="3" spans="1:13" x14ac:dyDescent="0.25">
      <c r="G3" s="22"/>
    </row>
    <row r="4" spans="1:13" ht="15.75" x14ac:dyDescent="0.25">
      <c r="E4" s="25" t="s">
        <v>48</v>
      </c>
      <c r="F4" s="43" t="s">
        <v>41</v>
      </c>
      <c r="G4" s="43"/>
      <c r="H4" s="43"/>
    </row>
    <row r="5" spans="1:13" x14ac:dyDescent="0.25">
      <c r="E5" s="26"/>
    </row>
    <row r="6" spans="1:13" x14ac:dyDescent="0.25">
      <c r="E6" s="26" t="s">
        <v>49</v>
      </c>
      <c r="F6" s="44">
        <v>44366</v>
      </c>
      <c r="G6" s="44"/>
      <c r="H6" s="44"/>
    </row>
    <row r="9" spans="1:13" x14ac:dyDescent="0.25">
      <c r="A9" s="34" t="s">
        <v>50</v>
      </c>
      <c r="B9" s="43" t="s">
        <v>41</v>
      </c>
      <c r="C9" s="43"/>
      <c r="D9" s="43"/>
      <c r="E9" s="33" t="s">
        <v>51</v>
      </c>
      <c r="F9" s="43" t="s">
        <v>8</v>
      </c>
      <c r="G9" s="43"/>
      <c r="H9" s="43"/>
    </row>
    <row r="11" spans="1:13" x14ac:dyDescent="0.25">
      <c r="A11" s="34" t="s">
        <v>0</v>
      </c>
      <c r="B11" s="43" t="s">
        <v>26</v>
      </c>
      <c r="C11" s="43"/>
      <c r="D11" s="43"/>
      <c r="E11" s="43"/>
      <c r="F11" s="43"/>
      <c r="G11" s="43"/>
      <c r="H11" s="43"/>
    </row>
    <row r="12" spans="1:13" x14ac:dyDescent="0.25">
      <c r="A12" s="34"/>
    </row>
    <row r="13" spans="1:13" x14ac:dyDescent="0.25">
      <c r="A13" s="34" t="s">
        <v>12</v>
      </c>
      <c r="B13" s="41">
        <v>500000</v>
      </c>
      <c r="C13" s="41"/>
      <c r="D13" s="41"/>
      <c r="E13" s="41"/>
      <c r="F13" s="41"/>
      <c r="G13" s="41"/>
      <c r="H13" s="41"/>
    </row>
    <row r="14" spans="1:13" x14ac:dyDescent="0.25">
      <c r="B14" s="31"/>
      <c r="C14" s="31"/>
      <c r="D14" s="31"/>
      <c r="E14" s="31"/>
      <c r="F14" s="31"/>
      <c r="G14" s="31"/>
      <c r="H14" s="31"/>
    </row>
    <row r="15" spans="1:13" x14ac:dyDescent="0.25">
      <c r="A15" s="34" t="s">
        <v>52</v>
      </c>
      <c r="B15" s="41">
        <v>160000</v>
      </c>
      <c r="C15" s="41"/>
      <c r="D15" s="41"/>
      <c r="E15" s="41"/>
      <c r="F15" s="41"/>
      <c r="G15" s="41"/>
      <c r="H15" s="41"/>
    </row>
    <row r="16" spans="1:13" x14ac:dyDescent="0.25">
      <c r="B16" s="31"/>
      <c r="C16" s="31"/>
      <c r="D16" s="31"/>
      <c r="E16" s="31"/>
      <c r="F16" s="31"/>
      <c r="G16" s="31"/>
      <c r="H16" s="31"/>
    </row>
    <row r="17" spans="1:8" x14ac:dyDescent="0.25">
      <c r="A17" s="34" t="s">
        <v>44</v>
      </c>
      <c r="B17" s="41">
        <v>660000</v>
      </c>
      <c r="C17" s="41"/>
      <c r="D17" s="41"/>
      <c r="E17" s="41"/>
      <c r="F17" s="41"/>
      <c r="G17" s="41"/>
      <c r="H17" s="41"/>
    </row>
    <row r="20" spans="1:8" x14ac:dyDescent="0.25">
      <c r="A20" s="42" t="s">
        <v>53</v>
      </c>
      <c r="B20" s="42"/>
      <c r="C20" s="42"/>
      <c r="F20" s="42" t="s">
        <v>54</v>
      </c>
      <c r="G20" s="42"/>
      <c r="H20" s="42"/>
    </row>
    <row r="24" spans="1:8" x14ac:dyDescent="0.25">
      <c r="A24" s="28"/>
      <c r="B24" s="28"/>
      <c r="C24" s="28"/>
      <c r="F24" s="29"/>
      <c r="G24" s="29"/>
      <c r="H24" s="29"/>
    </row>
    <row r="25" spans="1:8" x14ac:dyDescent="0.25">
      <c r="A25" s="30"/>
      <c r="B25" s="30"/>
      <c r="C25" s="30"/>
      <c r="D25" s="30"/>
      <c r="E25" s="30"/>
      <c r="F25" s="30"/>
      <c r="G25" s="30"/>
      <c r="H25" s="30"/>
    </row>
    <row r="26" spans="1:8" x14ac:dyDescent="0.25">
      <c r="G26" s="22"/>
      <c r="H26" s="22"/>
    </row>
    <row r="27" spans="1:8" x14ac:dyDescent="0.25">
      <c r="G27" s="22"/>
    </row>
    <row r="28" spans="1:8" x14ac:dyDescent="0.25">
      <c r="G28" s="22"/>
    </row>
    <row r="29" spans="1:8" ht="15.75" x14ac:dyDescent="0.25">
      <c r="E29" s="25" t="s">
        <v>48</v>
      </c>
      <c r="F29" s="43" t="str">
        <f>IF(F4="","",F4)</f>
        <v>10/30/2020ID1001</v>
      </c>
      <c r="G29" s="43"/>
      <c r="H29" s="43"/>
    </row>
    <row r="30" spans="1:8" x14ac:dyDescent="0.25">
      <c r="E30" s="26"/>
    </row>
    <row r="31" spans="1:8" x14ac:dyDescent="0.25">
      <c r="E31" s="26" t="s">
        <v>49</v>
      </c>
      <c r="F31" s="43">
        <f>IF(F6="","",F6)</f>
        <v>44366</v>
      </c>
      <c r="G31" s="43"/>
      <c r="H31" s="43"/>
    </row>
    <row r="34" spans="1:8" x14ac:dyDescent="0.25">
      <c r="A34" t="s">
        <v>50</v>
      </c>
      <c r="B34" s="43" t="str">
        <f>IF(B9="","",B9)</f>
        <v>10/30/2020ID1001</v>
      </c>
      <c r="C34" s="43"/>
      <c r="D34" s="43"/>
      <c r="E34" s="27" t="s">
        <v>51</v>
      </c>
      <c r="F34" s="43" t="str">
        <f>IF(F9="","",F9)</f>
        <v>ID1001</v>
      </c>
      <c r="G34" s="43"/>
      <c r="H34" s="43"/>
    </row>
    <row r="36" spans="1:8" x14ac:dyDescent="0.25">
      <c r="A36" t="s">
        <v>0</v>
      </c>
      <c r="B36" s="43" t="str">
        <f>IF(B11="","",B11)</f>
        <v>BAMBANG</v>
      </c>
      <c r="C36" s="43"/>
      <c r="D36" s="43"/>
      <c r="E36" s="43"/>
      <c r="F36" s="43"/>
      <c r="G36" s="43"/>
      <c r="H36" s="43"/>
    </row>
    <row r="38" spans="1:8" x14ac:dyDescent="0.25">
      <c r="A38" t="s">
        <v>12</v>
      </c>
      <c r="B38" s="45">
        <f>IF(B13="","",B13)</f>
        <v>500000</v>
      </c>
      <c r="C38" s="45"/>
      <c r="D38" s="45"/>
      <c r="E38" s="45"/>
      <c r="F38" s="45"/>
      <c r="G38" s="45"/>
      <c r="H38" s="45"/>
    </row>
    <row r="39" spans="1:8" x14ac:dyDescent="0.25">
      <c r="B39" s="32"/>
      <c r="C39" s="32"/>
      <c r="D39" s="32"/>
      <c r="E39" s="32"/>
      <c r="F39" s="32"/>
      <c r="G39" s="32"/>
      <c r="H39" s="32"/>
    </row>
    <row r="40" spans="1:8" x14ac:dyDescent="0.25">
      <c r="A40" t="s">
        <v>52</v>
      </c>
      <c r="B40" s="45">
        <f>IF(B15="","",B15)</f>
        <v>160000</v>
      </c>
      <c r="C40" s="45"/>
      <c r="D40" s="45"/>
      <c r="E40" s="45"/>
      <c r="F40" s="45"/>
      <c r="G40" s="45"/>
      <c r="H40" s="45"/>
    </row>
    <row r="41" spans="1:8" x14ac:dyDescent="0.25">
      <c r="B41" s="32"/>
      <c r="C41" s="32"/>
      <c r="D41" s="32"/>
      <c r="E41" s="32"/>
      <c r="F41" s="32"/>
      <c r="G41" s="32"/>
      <c r="H41" s="32"/>
    </row>
    <row r="42" spans="1:8" x14ac:dyDescent="0.25">
      <c r="A42" t="s">
        <v>44</v>
      </c>
      <c r="B42" s="45">
        <f>IF(B17="","",B17)</f>
        <v>660000</v>
      </c>
      <c r="C42" s="45"/>
      <c r="D42" s="45"/>
      <c r="E42" s="45"/>
      <c r="F42" s="45"/>
      <c r="G42" s="45"/>
      <c r="H42" s="45"/>
    </row>
    <row r="45" spans="1:8" x14ac:dyDescent="0.25">
      <c r="A45" s="42" t="s">
        <v>53</v>
      </c>
      <c r="B45" s="42"/>
      <c r="C45" s="42"/>
      <c r="F45" s="42" t="s">
        <v>54</v>
      </c>
      <c r="G45" s="42"/>
      <c r="H45" s="42"/>
    </row>
    <row r="49" spans="1:8" x14ac:dyDescent="0.25">
      <c r="A49" s="28"/>
      <c r="B49" s="28"/>
      <c r="C49" s="28"/>
      <c r="F49" s="29"/>
      <c r="G49" s="29"/>
      <c r="H49" s="29"/>
    </row>
  </sheetData>
  <sortState ref="C2:N6">
    <sortCondition ref="C1"/>
  </sortState>
  <mergeCells count="20">
    <mergeCell ref="A45:C45"/>
    <mergeCell ref="F45:H45"/>
    <mergeCell ref="F29:H29"/>
    <mergeCell ref="F31:H31"/>
    <mergeCell ref="B34:D34"/>
    <mergeCell ref="F34:H34"/>
    <mergeCell ref="B36:H36"/>
    <mergeCell ref="B38:H38"/>
    <mergeCell ref="B40:H40"/>
    <mergeCell ref="B42:H42"/>
    <mergeCell ref="B15:H15"/>
    <mergeCell ref="B17:H17"/>
    <mergeCell ref="A20:C20"/>
    <mergeCell ref="F20:H20"/>
    <mergeCell ref="F4:H4"/>
    <mergeCell ref="F6:H6"/>
    <mergeCell ref="B9:D9"/>
    <mergeCell ref="F9:H9"/>
    <mergeCell ref="B11:H11"/>
    <mergeCell ref="B13:H13"/>
  </mergeCells>
  <pageMargins left="0.93" right="0.5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MENU UTAMA</vt:lpstr>
      <vt:lpstr>DATAGURU</vt:lpstr>
      <vt:lpstr>JAMNGAJAR</vt:lpstr>
      <vt:lpstr>KWITANSI</vt:lpstr>
      <vt:lpstr>JAMNGAJAR!Criteria</vt:lpstr>
      <vt:lpstr>KWITANSI!Criteria</vt:lpstr>
      <vt:lpstr>JAMNGAJAR!Extract</vt:lpstr>
      <vt:lpstr>KWITANSI!Print_Area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achmad iqsan</cp:lastModifiedBy>
  <cp:lastPrinted>2021-06-19T06:59:58Z</cp:lastPrinted>
  <dcterms:created xsi:type="dcterms:W3CDTF">2020-10-28T04:15:17Z</dcterms:created>
  <dcterms:modified xsi:type="dcterms:W3CDTF">2021-06-19T07:01:21Z</dcterms:modified>
</cp:coreProperties>
</file>